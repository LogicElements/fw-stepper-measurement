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rousa\Documents\jablotron\stepper_measurement\git\Documents\"/>
    </mc:Choice>
  </mc:AlternateContent>
  <xr:revisionPtr revIDLastSave="0" documentId="13_ncr:1_{82A0D95D-6FA6-4387-BA78-16482536CCFE}" xr6:coauthVersionLast="47" xr6:coauthVersionMax="47" xr10:uidLastSave="{00000000-0000-0000-0000-000000000000}"/>
  <bookViews>
    <workbookView xWindow="20040" yWindow="-16320" windowWidth="29040" windowHeight="1572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7" i="25" l="1"/>
  <c r="L65" i="25"/>
  <c r="L66" i="25"/>
  <c r="K66" i="25"/>
  <c r="I76" i="25" l="1"/>
  <c r="K76" i="25"/>
  <c r="F7" i="25"/>
  <c r="L76" i="25" l="1"/>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I59" i="25" s="1"/>
  <c r="I60" i="25" s="1"/>
  <c r="K60" i="25" s="1"/>
  <c r="L29" i="25"/>
  <c r="F12" i="25"/>
  <c r="K44" i="25" l="1"/>
  <c r="K56" i="25"/>
  <c r="K53" i="25"/>
  <c r="K49" i="25"/>
  <c r="K57" i="25"/>
  <c r="K48" i="25"/>
  <c r="K58" i="25"/>
  <c r="K50" i="25"/>
  <c r="K55" i="25"/>
  <c r="K47" i="25"/>
  <c r="K54" i="25"/>
  <c r="K46" i="25"/>
  <c r="K45" i="25"/>
  <c r="K52" i="25"/>
  <c r="K59" i="25"/>
  <c r="K51" i="25"/>
  <c r="L41" i="25"/>
  <c r="L40" i="25"/>
  <c r="L39" i="25"/>
  <c r="L38" i="25"/>
  <c r="L36" i="25"/>
  <c r="L35" i="25"/>
  <c r="L34" i="25"/>
  <c r="L33" i="25"/>
  <c r="L28" i="25"/>
  <c r="L27" i="25"/>
  <c r="L20" i="25"/>
  <c r="L19" i="25"/>
  <c r="L18" i="25"/>
  <c r="K38" i="25"/>
  <c r="K33" i="25"/>
  <c r="I39" i="25" l="1"/>
  <c r="I40" i="25" l="1"/>
  <c r="K39" i="25"/>
  <c r="I41" i="25" l="1"/>
  <c r="K41" i="25" s="1"/>
  <c r="K40" i="25"/>
  <c r="I18" i="25" l="1"/>
  <c r="K18" i="25" l="1"/>
  <c r="I19" i="25"/>
  <c r="I20" i="25" s="1"/>
  <c r="I21" i="25" s="1"/>
  <c r="K65" i="25" l="1"/>
  <c r="I22" i="25"/>
  <c r="K21" i="25"/>
  <c r="K19" i="25"/>
  <c r="I34" i="25"/>
  <c r="K34" i="25" s="1"/>
  <c r="I23" i="25" l="1"/>
  <c r="K22" i="25"/>
  <c r="K20" i="25"/>
  <c r="I35" i="25"/>
  <c r="K23" i="25" l="1"/>
  <c r="I24" i="25"/>
  <c r="K24" i="25" s="1"/>
  <c r="I25" i="25"/>
  <c r="I36" i="25"/>
  <c r="K36" i="25" s="1"/>
  <c r="K35" i="25"/>
  <c r="I26" i="25" l="1"/>
  <c r="K25" i="25"/>
  <c r="I27" i="25" l="1"/>
  <c r="K26" i="25"/>
  <c r="I28" i="25" l="1"/>
  <c r="K27" i="25"/>
  <c r="I29" i="25" l="1"/>
  <c r="K29" i="25" s="1"/>
  <c r="K28" i="25"/>
</calcChain>
</file>

<file path=xl/sharedStrings.xml><?xml version="1.0" encoding="utf-8"?>
<sst xmlns="http://schemas.openxmlformats.org/spreadsheetml/2006/main" count="401" uniqueCount="265">
  <si>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</si>
  <si>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</si>
  <si>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</si>
  <si>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</si>
  <si>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</si>
  <si>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</si>
  <si>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</si>
  <si>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</si>
  <si>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</si>
  <si>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</si>
  <si>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</si>
  <si>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</si>
  <si>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</si>
  <si>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</si>
  <si>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</si>
  <si>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</si>
  <si>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</si>
  <si>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</si>
  <si>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</si>
  <si>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</si>
  <si>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</si>
  <si>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</si>
  <si>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</si>
  <si>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</si>
  <si>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</si>
  <si>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</si>
  <si>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</si>
  <si>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</si>
  <si>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</si>
  <si>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</si>
  <si>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</si>
  <si>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</si>
  <si>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</si>
  <si>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</si>
  <si>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</si>
  <si>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</si>
  <si>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</si>
  <si>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</si>
  <si>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</si>
  <si>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</si>
  <si>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</si>
  <si>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</si>
  <si>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</si>
  <si>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</si>
  <si>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</si>
  <si>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</si>
  <si>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</si>
  <si>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</si>
  <si>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</si>
  <si>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</si>
  <si>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</si>
  <si>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</si>
  <si>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</si>
  <si>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</si>
  <si>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</si>
  <si>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</si>
  <si>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</si>
  <si>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</si>
  <si>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</si>
  <si>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</si>
  <si>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</si>
  <si>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</si>
  <si>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</si>
  <si>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</si>
  <si>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</si>
  <si>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</si>
  <si>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</si>
  <si>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</si>
  <si>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</si>
  <si>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</si>
  <si>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</si>
  <si>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</si>
  <si>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</si>
  <si>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</si>
  <si>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</si>
  <si>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</si>
  <si>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</si>
  <si>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</si>
  <si>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</si>
  <si>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</si>
  <si>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</si>
  <si>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</si>
  <si>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</si>
  <si>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</si>
  <si>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</si>
  <si>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</si>
  <si>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</si>
  <si>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</si>
  <si>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</si>
  <si>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</si>
  <si>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</si>
  <si>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</si>
  <si>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</si>
  <si>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</si>
  <si>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</si>
  <si>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</si>
  <si>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</si>
  <si>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</si>
  <si>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</si>
  <si>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</si>
  <si>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</si>
  <si>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</si>
  <si>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</si>
  <si>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</si>
  <si>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</si>
  <si>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</si>
  <si>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</si>
  <si>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</si>
  <si>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</si>
  <si>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</si>
  <si>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</si>
  <si>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</si>
  <si>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</si>
  <si>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</si>
  <si>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</si>
  <si>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</si>
  <si>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</si>
  <si>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</si>
  <si>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</si>
  <si>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</si>
  <si>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</si>
  <si>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</si>
  <si>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</si>
  <si>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</si>
  <si>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</si>
  <si>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</si>
  <si>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</si>
  <si>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</si>
  <si>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</si>
  <si>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</si>
  <si>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</si>
  <si>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</si>
  <si>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</si>
  <si>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</si>
  <si>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</si>
  <si>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</si>
  <si>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</si>
  <si>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</si>
  <si>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</si>
  <si>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</si>
  <si>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</si>
  <si>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</si>
  <si>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</si>
  <si>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</si>
  <si>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</si>
  <si>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</si>
  <si>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</si>
  <si>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</si>
  <si>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</si>
  <si>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</si>
  <si>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</si>
  <si>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</si>
  <si>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</si>
  <si>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</si>
  <si>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</si>
  <si>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</si>
  <si>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</si>
  <si>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</si>
  <si>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</si>
  <si>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</si>
  <si>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</si>
  <si>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</si>
  <si>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</si>
  <si>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</si>
  <si>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</si>
  <si>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</si>
  <si>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</si>
  <si>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</si>
  <si>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</si>
  <si>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</si>
  <si>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</si>
  <si>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</si>
  <si>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</si>
  <si>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</si>
  <si>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</si>
  <si>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</si>
  <si>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</si>
  <si>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</si>
  <si>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</si>
  <si>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</si>
  <si>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</si>
  <si>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</si>
  <si>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D:\work\gitlab\fw-prec-rtd-sim\Documents\txts\PrecRtdSim_Registers.json</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</si>
  <si>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</si>
  <si>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</si>
  <si>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</si>
  <si>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</si>
  <si>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</si>
  <si>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</si>
  <si>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</si>
  <si>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</si>
  <si>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</si>
  <si>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</si>
  <si>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</si>
  <si>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0x3FF</t>
  </si>
  <si>
    <t>Set of input signals. 
Bits 0-4 - Modbus address offset
Bits 5-8 - Bootstrap
Bit 9 - Pushbutton</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</si>
  <si>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</si>
  <si>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</si>
  <si>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</si>
  <si>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</si>
  <si>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</si>
  <si>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</si>
  <si>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</si>
  <si>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</si>
  <si>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</si>
  <si>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</si>
  <si>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</si>
  <si>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</si>
  <si>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</si>
  <si>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</si>
  <si>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</si>
  <si>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</si>
  <si>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</si>
  <si>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</si>
  <si>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</si>
  <si>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</si>
  <si>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</si>
  <si>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</si>
  <si>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</si>
  <si>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</si>
  <si>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</si>
  <si>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</si>
  <si>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</si>
  <si>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</si>
  <si>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</si>
  <si>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</si>
  <si>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</si>
  <si>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</si>
  <si>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</si>
  <si>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</si>
  <si>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</si>
  <si>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</si>
  <si>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</si>
  <si>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</si>
  <si>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</si>
  <si>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</si>
  <si>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</si>
  <si>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</si>
  <si>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</si>
  <si>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</si>
  <si>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</si>
  <si>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</si>
  <si>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</si>
  <si>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C:\Users\evzen\OneDrive\Dokumenty\RTD_repo\Tests\prec-rtd-sim\</t>
  </si>
  <si>
    <t>C:\Users\rousa\Documents\jablotron\stepper_measurement\stepper_meas\Firmware\Core\Serial\</t>
  </si>
  <si>
    <t>C:\Users\rousa\Documents\jablotron\stepper_measurement\stepper_meas\Firmware\Core\Common\</t>
  </si>
  <si>
    <t>STPMEA</t>
  </si>
  <si>
    <t>STEPPER_MEASUREMENT</t>
  </si>
  <si>
    <t>Stepper measuremeent registr</t>
  </si>
  <si>
    <t>STEPS</t>
  </si>
  <si>
    <t>Steps counter</t>
  </si>
  <si>
    <t>Motor Stall</t>
  </si>
  <si>
    <t>STALL</t>
  </si>
  <si>
    <t>C:\Users\rousa\Documents\jablotron\stepper_measurement\git\Documents\txts\StepperMeas_registers.json</t>
  </si>
  <si>
    <t>C:\Users\rousa\Documents\jablotron\stepper_measurement\git\Documents\txts\StepperMeasRegs.py</t>
  </si>
  <si>
    <t>C:\Users\rousa\Documents\jablotron\stepper_measurement\git\Documents\txts\StepperMeas_Define.txt</t>
  </si>
  <si>
    <t>C:\Users\rousa\Documents\jablotron\stepper_measurement\git\Documents\txts\StepperMeas_Storage.txt</t>
  </si>
  <si>
    <t>C:\Users\rousa\Documents\jablotron\stepper_measurement\git\Documents\txts\StepperMeas_Factory.txt</t>
  </si>
  <si>
    <t>C:\Users\rousa\Documents\jablotron\stepper_measurement\git\Documents\txts\reg_map.c</t>
  </si>
  <si>
    <t>C:\Users\rousa\Documents\jablotron\stepper_measurement\git\Documents\txts\StepperMeas_Modbus.json</t>
  </si>
  <si>
    <t>Motor stop signal</t>
  </si>
  <si>
    <t>Number of steps</t>
  </si>
  <si>
    <t>BUFF</t>
  </si>
  <si>
    <t>Buffer</t>
  </si>
  <si>
    <t>STPMEA_BUFF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</si>
</sst>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60">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49" fontId="0" fillId="0" borderId="0" xfId="0" applyNumberFormat="1"/>
    <xf numFmtId="0" fontId="2"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left" vertical="center" wrapText="1"/>
    </xf>
    <xf numFmtId="0" fontId="0" fillId="0" borderId="0" xfId="0" applyFont="1"/>
    <xf numFmtId="0" fontId="0" fillId="0" borderId="0" xfId="0" applyFont="1" applyAlignment="1">
      <alignment horizontal="center"/>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9</xdr:col>
          <xdr:colOff>1295400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9</xdr:col>
          <xdr:colOff>1257300</xdr:colOff>
          <xdr:row>3</xdr:row>
          <xdr:rowOff>25400</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7</xdr:row>
          <xdr:rowOff>12700</xdr:rowOff>
        </xdr:from>
        <xdr:to>
          <xdr:col>9</xdr:col>
          <xdr:colOff>1257300</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9</xdr:row>
          <xdr:rowOff>12700</xdr:rowOff>
        </xdr:from>
        <xdr:to>
          <xdr:col>9</xdr:col>
          <xdr:colOff>1257300</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42"/>
  <sheetViews>
    <sheetView tabSelected="1" topLeftCell="A38" zoomScale="85" zoomScaleNormal="85" workbookViewId="0">
      <selection activeCell="M71" sqref="M71"/>
    </sheetView>
  </sheetViews>
  <sheetFormatPr defaultColWidth="9.1796875" defaultRowHeight="14.5" x14ac:dyDescent="0.35"/>
  <cols>
    <col min="1" max="1" width="2.26953125" style="12" customWidth="1"/>
    <col min="2" max="3" width="2.1796875" style="12" customWidth="1"/>
    <col min="4" max="4" width="1.54296875" style="12" customWidth="1"/>
    <col min="5" max="5" width="19.54296875" style="12" customWidth="1"/>
    <col min="6" max="6" width="112.54296875" style="10" customWidth="1"/>
    <col min="7" max="7" width="6.81640625" style="10" customWidth="1"/>
    <col min="8" max="8" width="5.453125" style="10" customWidth="1"/>
    <col min="9" max="9" width="8.453125" style="10" customWidth="1"/>
    <col min="10" max="10" width="21.26953125" style="10" customWidth="1"/>
    <col min="11" max="11" width="14.453125" style="12" customWidth="1"/>
    <col min="12" max="12" width="26.7265625" style="10" customWidth="1"/>
    <col min="13" max="13" width="23.81640625" style="12" customWidth="1"/>
    <col min="14" max="14" width="9.1796875" style="10" customWidth="1"/>
    <col min="15" max="15" width="9.453125" style="10" customWidth="1"/>
    <col min="16" max="16" width="9.7265625" style="10" customWidth="1"/>
    <col min="17" max="17" width="6.1796875" style="10" customWidth="1"/>
    <col min="18" max="18" width="7" style="10" bestFit="1" customWidth="1"/>
    <col min="19" max="19" width="3.54296875" style="10" customWidth="1"/>
    <col min="20" max="20" width="61.453125" style="12" customWidth="1"/>
    <col min="21" max="16384" width="9.1796875" style="12"/>
  </cols>
  <sheetData>
    <row r="3" spans="1:26" ht="21.75" customHeight="1" x14ac:dyDescent="0.35">
      <c r="J3" s="3" t="s">
        <v>1</v>
      </c>
      <c r="K3" s="9" t="s">
        <v>144</v>
      </c>
      <c r="L3" s="8" t="s">
        <v>258</v>
      </c>
      <c r="T3" s="31"/>
    </row>
    <row r="4" spans="1:26" ht="25" customHeight="1" x14ac:dyDescent="0.35">
      <c r="D4" s="31" t="s">
        <v>18</v>
      </c>
      <c r="E4" s="31"/>
      <c r="F4" s="31" t="s">
        <v>113</v>
      </c>
      <c r="J4" s="3" t="s">
        <v>1</v>
      </c>
      <c r="K4" s="9" t="s">
        <v>5</v>
      </c>
      <c r="L4" s="8" t="s">
        <v>255</v>
      </c>
      <c r="M4" s="11"/>
      <c r="U4" s="12" t="s">
        <v>1</v>
      </c>
      <c r="Z4" s="10"/>
    </row>
    <row r="5" spans="1:26" ht="25" customHeight="1" x14ac:dyDescent="0.35">
      <c r="D5" s="31" t="s">
        <v>19</v>
      </c>
      <c r="E5" s="31"/>
      <c r="F5" s="31" t="s">
        <v>20</v>
      </c>
      <c r="J5" s="3" t="s">
        <v>1</v>
      </c>
      <c r="K5" s="9" t="s">
        <v>100</v>
      </c>
      <c r="L5" s="8" t="s">
        <v>182</v>
      </c>
      <c r="M5" s="11"/>
      <c r="U5" s="12" t="s">
        <v>1</v>
      </c>
      <c r="Z5" s="10"/>
    </row>
    <row r="6" spans="1:26" ht="25" customHeight="1" x14ac:dyDescent="0.35">
      <c r="D6" s="31" t="s">
        <v>63</v>
      </c>
      <c r="E6" s="13"/>
      <c r="F6" s="32">
        <v>1</v>
      </c>
      <c r="J6" s="3" t="s">
        <v>1</v>
      </c>
      <c r="K6" s="9" t="s">
        <v>17</v>
      </c>
      <c r="L6" s="8" t="s">
        <v>256</v>
      </c>
      <c r="M6" s="11"/>
      <c r="U6" s="12" t="s">
        <v>1</v>
      </c>
      <c r="Z6" s="10"/>
    </row>
    <row r="7" spans="1:26" ht="25" customHeight="1" x14ac:dyDescent="0.35">
      <c r="D7" s="31" t="s">
        <v>143</v>
      </c>
      <c r="E7" s="13"/>
      <c r="F7" s="31" t="str">
        <f>GetWorkName()</f>
        <v>StepperMeas</v>
      </c>
      <c r="J7" s="3" t="s">
        <v>1</v>
      </c>
      <c r="K7" s="9" t="s">
        <v>21</v>
      </c>
      <c r="L7" s="8" t="s">
        <v>257</v>
      </c>
      <c r="M7" s="11"/>
      <c r="U7" s="12" t="s">
        <v>1</v>
      </c>
      <c r="Z7" s="10"/>
    </row>
    <row r="8" spans="1:26" ht="25" customHeight="1" x14ac:dyDescent="0.35">
      <c r="D8" s="31" t="s">
        <v>117</v>
      </c>
      <c r="E8" s="13"/>
      <c r="F8" s="31" t="s">
        <v>245</v>
      </c>
      <c r="J8" s="3" t="s">
        <v>1</v>
      </c>
      <c r="K8" s="9" t="s">
        <v>145</v>
      </c>
      <c r="L8" s="8" t="s">
        <v>259</v>
      </c>
      <c r="M8" s="11"/>
      <c r="U8" s="12" t="s">
        <v>1</v>
      </c>
      <c r="Z8" s="10"/>
    </row>
    <row r="9" spans="1:26" ht="25" customHeight="1" x14ac:dyDescent="0.35">
      <c r="D9" s="31" t="s">
        <v>148</v>
      </c>
      <c r="E9" s="13"/>
      <c r="F9" s="31" t="s">
        <v>244</v>
      </c>
      <c r="J9" s="3"/>
      <c r="K9" s="9" t="s">
        <v>1</v>
      </c>
      <c r="L9" s="8" t="s">
        <v>254</v>
      </c>
      <c r="M9" s="11"/>
      <c r="Z9" s="10"/>
    </row>
    <row r="10" spans="1:26" ht="25" customHeight="1" x14ac:dyDescent="0.35">
      <c r="D10" s="31" t="s">
        <v>153</v>
      </c>
      <c r="E10" s="13"/>
      <c r="F10" s="31" t="s">
        <v>243</v>
      </c>
      <c r="K10" s="9" t="s">
        <v>154</v>
      </c>
      <c r="L10" s="8" t="s">
        <v>253</v>
      </c>
      <c r="M10" s="11"/>
    </row>
    <row r="11" spans="1:26" ht="24.75" customHeight="1" x14ac:dyDescent="0.35">
      <c r="D11" s="31" t="s">
        <v>155</v>
      </c>
      <c r="F11" s="31"/>
      <c r="K11" s="10"/>
      <c r="M11" s="11"/>
    </row>
    <row r="12" spans="1:26" ht="24.75" customHeight="1" x14ac:dyDescent="0.35">
      <c r="D12" s="31" t="s">
        <v>151</v>
      </c>
      <c r="E12" s="11"/>
      <c r="F12" s="31" t="str">
        <f>ModbusGetVersion()</f>
        <v>0.1.15 - 2021-02-15</v>
      </c>
      <c r="G12" s="12"/>
      <c r="H12" s="12"/>
      <c r="I12" s="12"/>
      <c r="J12" s="12"/>
      <c r="M12" s="11"/>
    </row>
    <row r="13" spans="1:26" x14ac:dyDescent="0.35">
      <c r="F13" s="12"/>
      <c r="G13" s="12"/>
      <c r="H13" s="12"/>
      <c r="I13" s="12"/>
      <c r="J13" s="12"/>
      <c r="M13" s="11"/>
    </row>
    <row r="14" spans="1:26" x14ac:dyDescent="0.35">
      <c r="F14" s="12"/>
      <c r="G14" s="12"/>
      <c r="H14" s="12"/>
      <c r="I14" s="12"/>
      <c r="J14" s="12"/>
      <c r="M14" s="11"/>
    </row>
    <row r="15" spans="1:26" x14ac:dyDescent="0.35">
      <c r="E15" s="11"/>
      <c r="K15" s="10"/>
      <c r="M15" s="11"/>
    </row>
    <row r="16" spans="1:26" ht="15" customHeight="1" x14ac:dyDescent="0.35">
      <c r="A16" s="55"/>
      <c r="B16" s="55"/>
      <c r="C16" s="54"/>
      <c r="D16" s="44" t="s">
        <v>8</v>
      </c>
      <c r="E16" s="57" t="s">
        <v>33</v>
      </c>
      <c r="F16" s="46" t="s">
        <v>10</v>
      </c>
      <c r="G16" s="46" t="s">
        <v>39</v>
      </c>
      <c r="H16" s="46" t="s">
        <v>11</v>
      </c>
      <c r="I16" s="44" t="s">
        <v>0</v>
      </c>
      <c r="J16" s="46" t="s">
        <v>13</v>
      </c>
      <c r="K16" s="44" t="s">
        <v>16</v>
      </c>
      <c r="L16" s="44" t="s">
        <v>2</v>
      </c>
      <c r="M16" s="51" t="s">
        <v>134</v>
      </c>
      <c r="N16" s="46" t="s">
        <v>14</v>
      </c>
      <c r="O16" s="48" t="s">
        <v>118</v>
      </c>
      <c r="P16" s="48" t="s">
        <v>119</v>
      </c>
      <c r="Q16" s="48" t="s">
        <v>123</v>
      </c>
      <c r="R16" s="48" t="s">
        <v>149</v>
      </c>
      <c r="S16" s="50" t="s">
        <v>101</v>
      </c>
      <c r="T16" s="42" t="s">
        <v>4</v>
      </c>
    </row>
    <row r="17" spans="1:20" ht="15" customHeight="1" x14ac:dyDescent="0.35">
      <c r="A17" s="56"/>
      <c r="B17" s="56"/>
      <c r="C17" s="54"/>
      <c r="D17" s="45"/>
      <c r="E17" s="43"/>
      <c r="F17" s="47"/>
      <c r="G17" s="47"/>
      <c r="H17" s="47"/>
      <c r="I17" s="45"/>
      <c r="J17" s="47"/>
      <c r="K17" s="45"/>
      <c r="L17" s="45"/>
      <c r="M17" s="52"/>
      <c r="N17" s="45"/>
      <c r="O17" s="49"/>
      <c r="P17" s="49"/>
      <c r="Q17" s="53"/>
      <c r="R17" s="53"/>
      <c r="S17" s="49"/>
      <c r="T17" s="43"/>
    </row>
    <row r="18" spans="1:20" x14ac:dyDescent="0.3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35">
      <c r="D19" s="13"/>
      <c r="E19" s="11" t="s">
        <v>46</v>
      </c>
      <c r="F19" s="14" t="s">
        <v>32</v>
      </c>
      <c r="G19" s="5" t="s">
        <v>48</v>
      </c>
      <c r="H19" s="5" t="s">
        <v>51</v>
      </c>
      <c r="I19" s="14">
        <f t="shared" ref="I19:I29"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3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3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3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3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3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189</v>
      </c>
      <c r="M24" t="s">
        <v>190</v>
      </c>
      <c r="N24" s="29"/>
      <c r="O24" s="29"/>
      <c r="P24" s="29"/>
      <c r="Q24" s="29"/>
      <c r="R24" s="29"/>
      <c r="T24" t="s">
        <v>191</v>
      </c>
    </row>
    <row r="25" spans="1:20" x14ac:dyDescent="0.3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3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87" x14ac:dyDescent="0.3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3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35">
      <c r="D29" s="40"/>
      <c r="E29" t="s">
        <v>192</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193</v>
      </c>
      <c r="N29" s="29"/>
      <c r="O29" s="29">
        <v>0</v>
      </c>
      <c r="P29" s="3" t="s">
        <v>194</v>
      </c>
      <c r="Q29" s="29"/>
      <c r="R29" s="29"/>
      <c r="T29" t="s">
        <v>195</v>
      </c>
    </row>
    <row r="30" spans="1:20" x14ac:dyDescent="0.35">
      <c r="A30" s="34"/>
      <c r="D30" s="14"/>
      <c r="E30" s="2"/>
      <c r="F30" s="3"/>
      <c r="G30" s="5"/>
      <c r="H30" s="18"/>
      <c r="I30" s="14"/>
      <c r="J30" s="29"/>
      <c r="K30" s="10"/>
      <c r="M30" s="2"/>
      <c r="Q30" s="29"/>
      <c r="R30" s="3"/>
      <c r="S30" s="29"/>
      <c r="T30" s="35"/>
    </row>
    <row r="31" spans="1:20" x14ac:dyDescent="0.35">
      <c r="A31" s="34"/>
      <c r="D31" s="14"/>
      <c r="E31" s="2"/>
      <c r="F31" s="3"/>
      <c r="G31" s="5"/>
      <c r="H31" s="18"/>
      <c r="I31" s="14"/>
      <c r="J31" s="29"/>
      <c r="K31" s="10"/>
      <c r="M31" s="2"/>
      <c r="Q31" s="29"/>
      <c r="R31" s="3"/>
      <c r="S31" s="29"/>
      <c r="T31" s="35"/>
    </row>
    <row r="32" spans="1:20" x14ac:dyDescent="0.35">
      <c r="D32" s="14"/>
      <c r="K32" s="10"/>
      <c r="R32" s="3"/>
    </row>
    <row r="33" spans="1:23" x14ac:dyDescent="0.3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3" x14ac:dyDescent="0.3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9153</v>
      </c>
      <c r="P34" s="10">
        <v>9153</v>
      </c>
      <c r="R34" s="29"/>
      <c r="T34" t="s">
        <v>177</v>
      </c>
    </row>
    <row r="35" spans="1:23" x14ac:dyDescent="0.3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3" x14ac:dyDescent="0.3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3" x14ac:dyDescent="0.35">
      <c r="D37" s="14"/>
      <c r="E37" s="11"/>
      <c r="F37" s="14"/>
      <c r="G37" s="5"/>
      <c r="H37" s="18"/>
      <c r="I37" s="14"/>
      <c r="J37" s="14"/>
      <c r="K37" s="10"/>
      <c r="M37"/>
      <c r="O37" s="3"/>
      <c r="P37" s="3"/>
      <c r="R37" s="29"/>
      <c r="T37"/>
    </row>
    <row r="38" spans="1:23" ht="15" customHeight="1" x14ac:dyDescent="0.3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3" x14ac:dyDescent="0.3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20231100</v>
      </c>
      <c r="P39" s="29">
        <v>20250330</v>
      </c>
      <c r="R39" s="29"/>
      <c r="T39" t="s">
        <v>128</v>
      </c>
    </row>
    <row r="40" spans="1:23" x14ac:dyDescent="0.3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3" x14ac:dyDescent="0.3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32000</v>
      </c>
      <c r="R41" s="29"/>
      <c r="T41" t="s">
        <v>129</v>
      </c>
    </row>
    <row r="42" spans="1:23" x14ac:dyDescent="0.35">
      <c r="D42" s="15"/>
      <c r="E42" s="2"/>
      <c r="F42" s="5"/>
      <c r="G42" s="5"/>
      <c r="H42" s="18"/>
      <c r="I42" s="14"/>
      <c r="J42" s="14"/>
      <c r="K42" s="10"/>
      <c r="L42" s="3"/>
      <c r="M42"/>
      <c r="R42" s="29"/>
      <c r="T42"/>
    </row>
    <row r="43" spans="1:23" s="34" customFormat="1" x14ac:dyDescent="0.35">
      <c r="B43" s="12"/>
      <c r="C43" s="12"/>
      <c r="D43"/>
      <c r="E43"/>
      <c r="F43" s="3"/>
      <c r="G43" s="3"/>
      <c r="H43" s="3"/>
      <c r="I43" s="33"/>
      <c r="J43" s="29"/>
      <c r="K43" s="29"/>
      <c r="L43" s="29"/>
      <c r="M43" s="21"/>
      <c r="N43" s="29"/>
      <c r="O43" s="3"/>
      <c r="P43" s="3"/>
      <c r="Q43" s="3"/>
      <c r="R43" s="3"/>
      <c r="S43"/>
      <c r="T43"/>
      <c r="U43"/>
      <c r="V43"/>
      <c r="W43"/>
    </row>
    <row r="44" spans="1:23" s="34" customFormat="1" x14ac:dyDescent="0.35">
      <c r="D44" s="40"/>
      <c r="E44" s="2" t="s">
        <v>196</v>
      </c>
      <c r="F44" s="5" t="s">
        <v>185</v>
      </c>
      <c r="G44" s="3" t="s">
        <v>114</v>
      </c>
      <c r="H44" s="18" t="s">
        <v>47</v>
      </c>
      <c r="I44" s="33">
        <f t="shared" ref="I44:I60" si="2"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3">IF(AND(LEN(E44)&lt;&gt;0,S44=""),F44&amp;"_"&amp;UPPER(E44),"")</f>
        <v>COM_MB_BAUD_RATE</v>
      </c>
      <c r="M44" t="s">
        <v>197</v>
      </c>
      <c r="N44" s="29">
        <v>1</v>
      </c>
      <c r="O44" s="29">
        <v>0</v>
      </c>
      <c r="P44" s="29">
        <v>4</v>
      </c>
      <c r="Q44" s="29"/>
      <c r="R44" s="29"/>
      <c r="S44" s="29"/>
      <c r="T44" t="s">
        <v>198</v>
      </c>
    </row>
    <row r="45" spans="1:23" s="34" customFormat="1" x14ac:dyDescent="0.35">
      <c r="D45" s="40"/>
      <c r="F45" s="5" t="s">
        <v>185</v>
      </c>
      <c r="G45" s="29"/>
      <c r="H45" s="29"/>
      <c r="I45" s="33">
        <f t="shared" si="2"/>
        <v>1</v>
      </c>
      <c r="J45" s="29"/>
      <c r="K45" s="10">
        <f xml:space="preserve"> IFERROR("0x" &amp; DEC2HEX(VLOOKUP(F45,Common!$C$10:$D$34,2,FALSE),2) &amp; DEC2HEX(I45,3) &amp; DEC2HEX(VLOOKUP(G45,Common!$C$51:$D$55,2,FALSE),1) &amp; DEC2HEX(1+2*VLOOKUP(H45,Common!$C$69:$D$72,2,FALSE),1) &amp; DEC2HEX(IFERROR(LOG(J45,2),0),1),0)</f>
        <v>0</v>
      </c>
      <c r="L45" s="3" t="s">
        <v>199</v>
      </c>
      <c r="M45" s="41">
        <v>9600</v>
      </c>
      <c r="N45" s="29"/>
      <c r="O45" s="29"/>
      <c r="P45" s="29"/>
      <c r="Q45" s="29"/>
      <c r="R45" s="29"/>
      <c r="S45" s="29"/>
      <c r="T45" t="s">
        <v>200</v>
      </c>
    </row>
    <row r="46" spans="1:23" s="34" customFormat="1" x14ac:dyDescent="0.35">
      <c r="D46" s="40"/>
      <c r="F46" s="5" t="s">
        <v>185</v>
      </c>
      <c r="G46" s="29"/>
      <c r="H46" s="29"/>
      <c r="I46" s="33">
        <f t="shared" si="2"/>
        <v>1</v>
      </c>
      <c r="J46" s="29"/>
      <c r="K46" s="10">
        <f xml:space="preserve"> IFERROR("0x" &amp; DEC2HEX(VLOOKUP(F46,Common!$C$10:$D$34,2,FALSE),2) &amp; DEC2HEX(I46,3) &amp; DEC2HEX(VLOOKUP(G46,Common!$C$51:$D$55,2,FALSE),1) &amp; DEC2HEX(1+2*VLOOKUP(H46,Common!$C$69:$D$72,2,FALSE),1) &amp; DEC2HEX(IFERROR(LOG(J46,2),0),1),0)</f>
        <v>0</v>
      </c>
      <c r="L46" s="3" t="s">
        <v>201</v>
      </c>
      <c r="M46" s="41">
        <v>19200</v>
      </c>
      <c r="N46" s="29"/>
      <c r="O46" s="29"/>
      <c r="P46" s="29"/>
      <c r="Q46" s="29"/>
      <c r="R46" s="29"/>
      <c r="S46" s="29"/>
      <c r="T46" t="s">
        <v>202</v>
      </c>
    </row>
    <row r="47" spans="1:23" s="34" customFormat="1" x14ac:dyDescent="0.35">
      <c r="D47" s="40"/>
      <c r="F47" s="5" t="s">
        <v>185</v>
      </c>
      <c r="G47" s="29"/>
      <c r="H47" s="29"/>
      <c r="I47" s="33">
        <f t="shared" si="2"/>
        <v>1</v>
      </c>
      <c r="J47" s="29"/>
      <c r="K47" s="10">
        <f xml:space="preserve"> IFERROR("0x" &amp; DEC2HEX(VLOOKUP(F47,Common!$C$10:$D$34,2,FALSE),2) &amp; DEC2HEX(I47,3) &amp; DEC2HEX(VLOOKUP(G47,Common!$C$51:$D$55,2,FALSE),1) &amp; DEC2HEX(1+2*VLOOKUP(H47,Common!$C$69:$D$72,2,FALSE),1) &amp; DEC2HEX(IFERROR(LOG(J47,2),0),1),0)</f>
        <v>0</v>
      </c>
      <c r="L47" s="3" t="s">
        <v>203</v>
      </c>
      <c r="M47" s="41">
        <v>38400</v>
      </c>
      <c r="N47" s="29"/>
      <c r="O47" s="29"/>
      <c r="P47" s="29"/>
      <c r="Q47" s="29"/>
      <c r="R47" s="29"/>
      <c r="S47" s="29"/>
      <c r="T47" t="s">
        <v>204</v>
      </c>
    </row>
    <row r="48" spans="1:23" s="34" customFormat="1" x14ac:dyDescent="0.35">
      <c r="D48" s="40"/>
      <c r="F48" s="5" t="s">
        <v>185</v>
      </c>
      <c r="G48" s="29"/>
      <c r="H48" s="29"/>
      <c r="I48" s="33">
        <f t="shared" si="2"/>
        <v>1</v>
      </c>
      <c r="J48" s="29"/>
      <c r="K48" s="10">
        <f xml:space="preserve"> IFERROR("0x" &amp; DEC2HEX(VLOOKUP(F48,Common!$C$10:$D$34,2,FALSE),2) &amp; DEC2HEX(I48,3) &amp; DEC2HEX(VLOOKUP(G48,Common!$C$51:$D$55,2,FALSE),1) &amp; DEC2HEX(1+2*VLOOKUP(H48,Common!$C$69:$D$72,2,FALSE),1) &amp; DEC2HEX(IFERROR(LOG(J48,2),0),1),0)</f>
        <v>0</v>
      </c>
      <c r="L48" s="3" t="s">
        <v>205</v>
      </c>
      <c r="M48" s="41">
        <v>57600</v>
      </c>
      <c r="N48" s="29"/>
      <c r="O48" s="29"/>
      <c r="P48" s="29"/>
      <c r="Q48" s="29"/>
      <c r="R48" s="29"/>
      <c r="S48" s="29"/>
      <c r="T48" t="s">
        <v>206</v>
      </c>
    </row>
    <row r="49" spans="4:26" s="34" customFormat="1" x14ac:dyDescent="0.35">
      <c r="D49" s="40"/>
      <c r="F49" s="5" t="s">
        <v>185</v>
      </c>
      <c r="G49" s="29"/>
      <c r="H49" s="29"/>
      <c r="I49" s="33">
        <f t="shared" si="2"/>
        <v>1</v>
      </c>
      <c r="J49" s="29"/>
      <c r="K49" s="10">
        <f xml:space="preserve"> IFERROR("0x" &amp; DEC2HEX(VLOOKUP(F49,Common!$C$10:$D$34,2,FALSE),2) &amp; DEC2HEX(I49,3) &amp; DEC2HEX(VLOOKUP(G49,Common!$C$51:$D$55,2,FALSE),1) &amp; DEC2HEX(1+2*VLOOKUP(H49,Common!$C$69:$D$72,2,FALSE),1) &amp; DEC2HEX(IFERROR(LOG(J49,2),0),1),0)</f>
        <v>0</v>
      </c>
      <c r="L49" s="3" t="s">
        <v>207</v>
      </c>
      <c r="M49" s="41">
        <v>115200</v>
      </c>
      <c r="N49" s="29"/>
      <c r="O49" s="29"/>
      <c r="P49" s="29"/>
      <c r="Q49" s="29"/>
      <c r="R49" s="29"/>
      <c r="S49" s="29"/>
      <c r="T49" t="s">
        <v>208</v>
      </c>
    </row>
    <row r="50" spans="4:26" s="34" customFormat="1" x14ac:dyDescent="0.35">
      <c r="D50" s="40"/>
      <c r="E50" t="s">
        <v>209</v>
      </c>
      <c r="F50" s="5" t="s">
        <v>185</v>
      </c>
      <c r="G50" s="3" t="s">
        <v>114</v>
      </c>
      <c r="H50" s="3" t="s">
        <v>47</v>
      </c>
      <c r="I50" s="33">
        <f t="shared" si="2"/>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4">IF(AND(LEN(E50)&lt;&gt;0,S50=""),F50&amp;"_"&amp;UPPER(E50),"")</f>
        <v>COM_MB_PARITY</v>
      </c>
      <c r="M50" s="41" t="s">
        <v>210</v>
      </c>
      <c r="N50" s="29">
        <v>1</v>
      </c>
      <c r="O50" s="29">
        <v>0</v>
      </c>
      <c r="P50" s="29">
        <v>2</v>
      </c>
      <c r="Q50" s="29"/>
      <c r="R50" s="29"/>
      <c r="S50" s="29"/>
      <c r="T50" t="s">
        <v>211</v>
      </c>
    </row>
    <row r="51" spans="4:26" s="34" customFormat="1" x14ac:dyDescent="0.35">
      <c r="D51" s="40"/>
      <c r="F51" s="5" t="s">
        <v>185</v>
      </c>
      <c r="G51" s="29"/>
      <c r="H51" s="29"/>
      <c r="I51" s="33">
        <f t="shared" si="2"/>
        <v>2</v>
      </c>
      <c r="J51" s="29"/>
      <c r="K51" s="10">
        <f xml:space="preserve"> IFERROR("0x" &amp; DEC2HEX(VLOOKUP(F51,Common!$C$10:$D$34,2,FALSE),2) &amp; DEC2HEX(I51,3) &amp; DEC2HEX(VLOOKUP(G51,Common!$C$51:$D$55,2,FALSE),1) &amp; DEC2HEX(1+2*VLOOKUP(H51,Common!$C$69:$D$72,2,FALSE),1) &amp; DEC2HEX(IFERROR(LOG(J51,2),0),1),0)</f>
        <v>0</v>
      </c>
      <c r="L51" s="3" t="s">
        <v>212</v>
      </c>
      <c r="M51" s="41" t="s">
        <v>213</v>
      </c>
      <c r="N51" s="29"/>
      <c r="O51" s="29"/>
      <c r="P51" s="29"/>
      <c r="Q51" s="29"/>
      <c r="R51" s="29"/>
      <c r="S51" s="29"/>
      <c r="T51" t="s">
        <v>214</v>
      </c>
    </row>
    <row r="52" spans="4:26" s="34" customFormat="1" x14ac:dyDescent="0.35">
      <c r="D52" s="40"/>
      <c r="F52" s="5" t="s">
        <v>185</v>
      </c>
      <c r="G52" s="29"/>
      <c r="H52" s="29"/>
      <c r="I52" s="33">
        <f t="shared" si="2"/>
        <v>2</v>
      </c>
      <c r="J52" s="29"/>
      <c r="K52" s="10">
        <f xml:space="preserve"> IFERROR("0x" &amp; DEC2HEX(VLOOKUP(F52,Common!$C$10:$D$34,2,FALSE),2) &amp; DEC2HEX(I52,3) &amp; DEC2HEX(VLOOKUP(G52,Common!$C$51:$D$55,2,FALSE),1) &amp; DEC2HEX(1+2*VLOOKUP(H52,Common!$C$69:$D$72,2,FALSE),1) &amp; DEC2HEX(IFERROR(LOG(J52,2),0),1),0)</f>
        <v>0</v>
      </c>
      <c r="L52" s="3" t="s">
        <v>215</v>
      </c>
      <c r="M52" t="s">
        <v>216</v>
      </c>
      <c r="N52" s="29"/>
      <c r="O52" s="29"/>
      <c r="P52" s="29"/>
      <c r="Q52" s="29"/>
      <c r="R52" s="29"/>
      <c r="S52" s="29"/>
      <c r="T52" t="s">
        <v>217</v>
      </c>
    </row>
    <row r="53" spans="4:26" s="34" customFormat="1" x14ac:dyDescent="0.35">
      <c r="D53" s="40"/>
      <c r="F53" s="5" t="s">
        <v>185</v>
      </c>
      <c r="G53" s="29"/>
      <c r="H53" s="29"/>
      <c r="I53" s="33">
        <f t="shared" si="2"/>
        <v>2</v>
      </c>
      <c r="J53" s="29"/>
      <c r="K53" s="10">
        <f xml:space="preserve"> IFERROR("0x" &amp; DEC2HEX(VLOOKUP(F53,Common!$C$10:$D$34,2,FALSE),2) &amp; DEC2HEX(I53,3) &amp; DEC2HEX(VLOOKUP(G53,Common!$C$51:$D$55,2,FALSE),1) &amp; DEC2HEX(1+2*VLOOKUP(H53,Common!$C$69:$D$72,2,FALSE),1) &amp; DEC2HEX(IFERROR(LOG(J53,2),0),1),0)</f>
        <v>0</v>
      </c>
      <c r="L53" s="3" t="s">
        <v>218</v>
      </c>
      <c r="M53" t="s">
        <v>219</v>
      </c>
      <c r="N53" s="29"/>
      <c r="O53" s="29"/>
      <c r="P53" s="29"/>
      <c r="Q53" s="29"/>
      <c r="R53" s="29"/>
      <c r="S53" s="29"/>
      <c r="T53" t="s">
        <v>220</v>
      </c>
    </row>
    <row r="54" spans="4:26" s="34" customFormat="1" x14ac:dyDescent="0.35">
      <c r="D54" s="40"/>
      <c r="E54" t="s">
        <v>221</v>
      </c>
      <c r="F54" s="5" t="s">
        <v>185</v>
      </c>
      <c r="G54" s="3" t="s">
        <v>114</v>
      </c>
      <c r="H54" s="3" t="s">
        <v>47</v>
      </c>
      <c r="I54" s="33">
        <f t="shared" si="2"/>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5">IF(AND(LEN(E54)&lt;&gt;0,S54=""),F54&amp;"_"&amp;UPPER(E54),"")</f>
        <v>COM_MB_STOP_BITS</v>
      </c>
      <c r="M54" t="s">
        <v>222</v>
      </c>
      <c r="N54" s="29">
        <v>0</v>
      </c>
      <c r="O54" s="29">
        <v>0</v>
      </c>
      <c r="P54" s="29">
        <v>1</v>
      </c>
      <c r="Q54" s="29"/>
      <c r="R54" s="29"/>
      <c r="S54" s="29"/>
      <c r="T54" t="s">
        <v>223</v>
      </c>
    </row>
    <row r="55" spans="4:26" s="34" customFormat="1" x14ac:dyDescent="0.35">
      <c r="D55" s="40"/>
      <c r="F55" s="5" t="s">
        <v>185</v>
      </c>
      <c r="G55" s="29"/>
      <c r="H55" s="29"/>
      <c r="I55" s="33">
        <f t="shared" si="2"/>
        <v>3</v>
      </c>
      <c r="J55" s="29"/>
      <c r="K55" s="10">
        <f xml:space="preserve"> IFERROR("0x" &amp; DEC2HEX(VLOOKUP(F55,Common!$C$10:$D$34,2,FALSE),2) &amp; DEC2HEX(I55,3) &amp; DEC2HEX(VLOOKUP(G55,Common!$C$51:$D$55,2,FALSE),1) &amp; DEC2HEX(1+2*VLOOKUP(H55,Common!$C$69:$D$72,2,FALSE),1) &amp; DEC2HEX(IFERROR(LOG(J55,2),0),1),0)</f>
        <v>0</v>
      </c>
      <c r="L55" s="3" t="s">
        <v>224</v>
      </c>
      <c r="M55" t="s">
        <v>225</v>
      </c>
      <c r="N55" s="29"/>
      <c r="O55" s="29"/>
      <c r="P55" s="29"/>
      <c r="Q55" s="29"/>
      <c r="R55" s="29"/>
      <c r="S55" s="29"/>
      <c r="T55" t="s">
        <v>225</v>
      </c>
    </row>
    <row r="56" spans="4:26" s="34" customFormat="1" x14ac:dyDescent="0.35">
      <c r="D56" s="40"/>
      <c r="F56" s="5" t="s">
        <v>185</v>
      </c>
      <c r="G56" s="29"/>
      <c r="H56" s="29"/>
      <c r="I56" s="33">
        <f t="shared" si="2"/>
        <v>3</v>
      </c>
      <c r="J56" s="29"/>
      <c r="K56" s="10">
        <f xml:space="preserve"> IFERROR("0x" &amp; DEC2HEX(VLOOKUP(F56,Common!$C$10:$D$34,2,FALSE),2) &amp; DEC2HEX(I56,3) &amp; DEC2HEX(VLOOKUP(G56,Common!$C$51:$D$55,2,FALSE),1) &amp; DEC2HEX(1+2*VLOOKUP(H56,Common!$C$69:$D$72,2,FALSE),1) &amp; DEC2HEX(IFERROR(LOG(J56,2),0),1),0)</f>
        <v>0</v>
      </c>
      <c r="L56" s="3" t="s">
        <v>226</v>
      </c>
      <c r="M56" t="s">
        <v>227</v>
      </c>
      <c r="N56" s="29"/>
      <c r="O56" s="29"/>
      <c r="P56" s="29"/>
      <c r="Q56" s="29"/>
      <c r="R56" s="29"/>
      <c r="S56" s="29"/>
      <c r="T56" t="s">
        <v>227</v>
      </c>
    </row>
    <row r="57" spans="4:26" s="34" customFormat="1" x14ac:dyDescent="0.35">
      <c r="D57" s="40"/>
      <c r="E57" t="s">
        <v>228</v>
      </c>
      <c r="F57" s="5" t="s">
        <v>185</v>
      </c>
      <c r="G57" s="3" t="s">
        <v>48</v>
      </c>
      <c r="H57" s="3" t="s">
        <v>50</v>
      </c>
      <c r="I57" s="33">
        <f t="shared" si="2"/>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6">IF(AND(LEN(E57)&lt;&gt;0,S57=""),F57&amp;"_"&amp;UPPER(E57),"")</f>
        <v>COM_RESERVED</v>
      </c>
      <c r="M57"/>
      <c r="N57" s="29"/>
      <c r="O57" s="29"/>
      <c r="P57" s="29"/>
      <c r="Q57" s="29"/>
      <c r="R57" s="3" t="s">
        <v>229</v>
      </c>
      <c r="S57" s="29"/>
      <c r="T57"/>
    </row>
    <row r="58" spans="4:26" s="34" customFormat="1" x14ac:dyDescent="0.35">
      <c r="D58" s="40"/>
      <c r="E58" t="s">
        <v>230</v>
      </c>
      <c r="F58" s="5" t="s">
        <v>185</v>
      </c>
      <c r="G58" s="3" t="s">
        <v>48</v>
      </c>
      <c r="H58" s="3" t="s">
        <v>45</v>
      </c>
      <c r="I58" s="33">
        <f t="shared" si="2"/>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6"/>
        <v>COM_MB_ADDRESS</v>
      </c>
      <c r="M58" t="s">
        <v>231</v>
      </c>
      <c r="N58" s="29">
        <v>32</v>
      </c>
      <c r="O58" s="29">
        <v>32</v>
      </c>
      <c r="P58" s="29">
        <v>63</v>
      </c>
      <c r="Q58" s="29"/>
      <c r="R58" s="29" t="s">
        <v>229</v>
      </c>
      <c r="S58" s="29"/>
      <c r="T58" t="s">
        <v>232</v>
      </c>
    </row>
    <row r="59" spans="4:26" s="34" customFormat="1" x14ac:dyDescent="0.35">
      <c r="D59" s="40"/>
      <c r="E59" t="s">
        <v>233</v>
      </c>
      <c r="F59" s="3" t="s">
        <v>185</v>
      </c>
      <c r="G59" s="3" t="s">
        <v>48</v>
      </c>
      <c r="H59" s="3" t="s">
        <v>50</v>
      </c>
      <c r="I59" s="33">
        <f t="shared" si="2"/>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6"/>
        <v>COM_MB_APPLY</v>
      </c>
      <c r="M59" t="s">
        <v>234</v>
      </c>
      <c r="N59" s="29"/>
      <c r="O59" s="29">
        <v>0</v>
      </c>
      <c r="P59" s="29">
        <v>1</v>
      </c>
      <c r="Q59" s="29"/>
      <c r="R59" s="29"/>
      <c r="S59" s="29"/>
      <c r="T59" t="s">
        <v>235</v>
      </c>
    </row>
    <row r="60" spans="4:26" s="34" customFormat="1" x14ac:dyDescent="0.35">
      <c r="D60" s="40"/>
      <c r="E60" t="s">
        <v>236</v>
      </c>
      <c r="F60" s="3" t="s">
        <v>185</v>
      </c>
      <c r="G60" s="3" t="s">
        <v>48</v>
      </c>
      <c r="H60" s="3" t="s">
        <v>47</v>
      </c>
      <c r="I60" s="33">
        <f t="shared" si="2"/>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6"/>
        <v>COM_MB_TIMEOUT</v>
      </c>
      <c r="M60" t="s">
        <v>190</v>
      </c>
      <c r="N60" s="29">
        <v>10</v>
      </c>
      <c r="O60" s="29">
        <v>0</v>
      </c>
      <c r="P60" s="29">
        <v>7200</v>
      </c>
      <c r="Q60" s="3" t="s">
        <v>124</v>
      </c>
      <c r="R60" s="29"/>
      <c r="S60" s="29"/>
      <c r="T60" t="s">
        <v>237</v>
      </c>
    </row>
    <row r="61" spans="4:26" s="34" customFormat="1" x14ac:dyDescent="0.35">
      <c r="D61" s="40"/>
      <c r="F61" s="29"/>
      <c r="I61" s="33"/>
      <c r="K61" s="10"/>
      <c r="N61" s="29"/>
      <c r="O61" s="29"/>
      <c r="P61" s="29"/>
      <c r="Q61" s="29"/>
      <c r="R61" s="29"/>
    </row>
    <row r="62" spans="4:26" x14ac:dyDescent="0.35">
      <c r="E62"/>
      <c r="F62" s="3"/>
      <c r="G62" s="3"/>
      <c r="H62" s="3"/>
      <c r="I62" s="33"/>
      <c r="K62" s="10"/>
      <c r="L62" s="3"/>
      <c r="M62"/>
      <c r="N62" s="3"/>
      <c r="Q62" s="3"/>
      <c r="T62"/>
      <c r="Z62" s="34"/>
    </row>
    <row r="63" spans="4:26" s="34" customFormat="1" x14ac:dyDescent="0.35">
      <c r="D63" s="40"/>
    </row>
    <row r="64" spans="4:26" s="34" customFormat="1" x14ac:dyDescent="0.35">
      <c r="D64" s="40"/>
    </row>
    <row r="65" spans="1:35" s="34" customFormat="1" x14ac:dyDescent="0.35">
      <c r="D65" s="40"/>
      <c r="E65" t="s">
        <v>249</v>
      </c>
      <c r="F65" s="3" t="s">
        <v>246</v>
      </c>
      <c r="G65" s="3" t="s">
        <v>48</v>
      </c>
      <c r="H65" s="3" t="s">
        <v>50</v>
      </c>
      <c r="I65" s="33">
        <v>0</v>
      </c>
      <c r="J65" s="29">
        <v>4</v>
      </c>
      <c r="K65" s="10" t="str">
        <f xml:space="preserve"> IFERROR("0x" &amp; DEC2HEX(VLOOKUP(F65,Common!$C$10:$D$34,2,FALSE),2) &amp; DEC2HEX(I65,3) &amp; DEC2HEX(VLOOKUP(G65,Common!$C$51:$D$55,2,FALSE),1) &amp; DEC2HEX(1+2*VLOOKUP(H65,Common!$C$69:$D$72,2,FALSE),1) &amp; DEC2HEX(IFERROR(LOG(J65,2),0),1),0)</f>
        <v>0x05000152</v>
      </c>
      <c r="L65" s="29" t="str">
        <f>IF(AND(LEN(E65)&lt;&gt;0,S65=""),F65&amp;"_"&amp;UPPER(E65),"")</f>
        <v>STPMEA_STEPS</v>
      </c>
      <c r="M65" s="3" t="s">
        <v>250</v>
      </c>
      <c r="N65" s="29">
        <v>0</v>
      </c>
      <c r="O65" s="29">
        <v>-32000</v>
      </c>
      <c r="P65" s="29">
        <v>32000</v>
      </c>
      <c r="Q65" s="29"/>
      <c r="R65" s="29"/>
      <c r="S65" s="29"/>
      <c r="T65" t="s">
        <v>261</v>
      </c>
      <c r="U65"/>
    </row>
    <row r="66" spans="1:35" s="34" customFormat="1" x14ac:dyDescent="0.35">
      <c r="D66" s="40"/>
      <c r="E66" s="24" t="s">
        <v>252</v>
      </c>
      <c r="F66" s="3" t="s">
        <v>246</v>
      </c>
      <c r="G66" s="3" t="s">
        <v>48</v>
      </c>
      <c r="H66" s="3" t="s">
        <v>50</v>
      </c>
      <c r="I66" s="33">
        <v>4</v>
      </c>
      <c r="J66" s="29">
        <v>4</v>
      </c>
      <c r="K66" s="10" t="str">
        <f xml:space="preserve"> IFERROR("0x" &amp; DEC2HEX(VLOOKUP(F66,Common!$C$10:$D$34,2,FALSE),2) &amp; DEC2HEX(I66,3) &amp; DEC2HEX(VLOOKUP(G66,Common!$C$51:$D$55,2,FALSE),1) &amp; DEC2HEX(1+2*VLOOKUP(H66,Common!$C$69:$D$72,2,FALSE),1) &amp; DEC2HEX(IFERROR(LOG(J66,2),0),1),0)</f>
        <v>0x05004152</v>
      </c>
      <c r="L66" s="29" t="str">
        <f>IF(AND(LEN(E66)&lt;&gt;0,S66=""),F66&amp;"_"&amp;UPPER(E66),"")</f>
        <v>STPMEA_STALL</v>
      </c>
      <c r="M66" s="3" t="s">
        <v>251</v>
      </c>
      <c r="N66" s="29">
        <v>0</v>
      </c>
      <c r="O66" s="29">
        <v>-32000</v>
      </c>
      <c r="P66" s="29">
        <v>32000</v>
      </c>
      <c r="Q66" s="29"/>
      <c r="R66" s="29"/>
      <c r="S66" s="29"/>
      <c r="T66" t="s">
        <v>260</v>
      </c>
      <c r="U66"/>
    </row>
    <row r="67" spans="1:35" s="34" customFormat="1" x14ac:dyDescent="0.35">
      <c r="D67" s="40"/>
      <c r="E67" s="34" t="s">
        <v>262</v>
      </c>
      <c r="F67" s="3" t="s">
        <v>246</v>
      </c>
      <c r="G67" s="29" t="s">
        <v>48</v>
      </c>
      <c r="H67" s="59" t="s">
        <v>50</v>
      </c>
      <c r="I67" s="33">
        <v>8</v>
      </c>
      <c r="J67" s="29">
        <v>4</v>
      </c>
      <c r="K67" s="10" t="str">
        <f xml:space="preserve"> IFERROR("0x" &amp; DEC2HEX(VLOOKUP(F67,Common!$C$10:$D$34,2,FALSE),2) &amp; DEC2HEX(I67,3) &amp; DEC2HEX(VLOOKUP(G67,Common!$C$51:$D$55,2,FALSE),1) &amp; DEC2HEX(1+2*VLOOKUP(H67,Common!$C$69:$D$72,2,FALSE),1) &amp; DEC2HEX(IFERROR(LOG(J67,2),0),1),0)</f>
        <v>0x05008152</v>
      </c>
      <c r="L67" s="23" t="s">
        <v>264</v>
      </c>
      <c r="M67" s="34" t="s">
        <v>263</v>
      </c>
      <c r="N67" s="29"/>
      <c r="O67" s="29">
        <v>-32000</v>
      </c>
      <c r="P67" s="29">
        <v>32000</v>
      </c>
      <c r="T67" s="21"/>
    </row>
    <row r="68" spans="1:35" s="10" customFormat="1" x14ac:dyDescent="0.35">
      <c r="A68" s="12"/>
      <c r="B68" s="12"/>
      <c r="C68" s="12"/>
      <c r="D68"/>
      <c r="E68" s="34"/>
      <c r="F68" s="34"/>
      <c r="G68" s="34"/>
      <c r="H68" s="34"/>
      <c r="I68" s="34"/>
      <c r="J68" s="58"/>
      <c r="K68" s="34"/>
      <c r="L68" s="34"/>
      <c r="M68" s="34"/>
      <c r="N68" s="34"/>
      <c r="O68" s="34"/>
      <c r="P68" s="34"/>
      <c r="Q68" s="34"/>
      <c r="R68" s="34"/>
      <c r="S68" s="34"/>
      <c r="T68" s="34"/>
      <c r="U68" s="34"/>
      <c r="V68" s="34"/>
      <c r="W68" s="34"/>
      <c r="X68" s="34"/>
      <c r="Y68" s="34"/>
      <c r="Z68" s="12"/>
      <c r="AA68" s="12"/>
      <c r="AB68" s="12"/>
      <c r="AC68" s="12"/>
      <c r="AD68" s="12"/>
      <c r="AE68" s="12"/>
      <c r="AF68" s="12"/>
      <c r="AG68" s="12"/>
      <c r="AH68" s="12"/>
      <c r="AI68" s="12"/>
    </row>
    <row r="69" spans="1:35" s="34" customFormat="1" x14ac:dyDescent="0.35">
      <c r="D69" s="40"/>
      <c r="E69"/>
      <c r="F69" s="3"/>
      <c r="G69" s="3"/>
      <c r="H69" s="3"/>
      <c r="I69" s="33"/>
      <c r="J69" s="29"/>
      <c r="K69" s="10"/>
      <c r="L69" s="29"/>
      <c r="M69"/>
      <c r="N69" s="29"/>
      <c r="O69" s="29"/>
      <c r="P69" s="29"/>
      <c r="Q69" s="3"/>
      <c r="R69" s="29"/>
      <c r="S69" s="29"/>
      <c r="T69"/>
      <c r="Z69" s="12"/>
    </row>
    <row r="70" spans="1:35" s="34" customFormat="1" x14ac:dyDescent="0.35">
      <c r="D70" s="40"/>
      <c r="E70"/>
      <c r="F70" s="3"/>
      <c r="G70" s="3"/>
      <c r="H70" s="3"/>
      <c r="I70" s="33"/>
      <c r="J70" s="29"/>
      <c r="K70" s="10"/>
      <c r="L70" s="29"/>
      <c r="M70"/>
      <c r="N70" s="29"/>
      <c r="O70" s="29"/>
      <c r="P70" s="29"/>
      <c r="Q70" s="3"/>
      <c r="R70" s="29"/>
      <c r="T70"/>
    </row>
    <row r="71" spans="1:35" s="34" customFormat="1" x14ac:dyDescent="0.35">
      <c r="D71" s="40"/>
      <c r="E71"/>
      <c r="F71" s="3"/>
      <c r="G71" s="3"/>
      <c r="H71" s="3"/>
      <c r="I71" s="33"/>
      <c r="J71" s="29"/>
      <c r="K71" s="10"/>
      <c r="L71" s="29"/>
      <c r="M71"/>
      <c r="N71" s="29"/>
      <c r="O71" s="3"/>
      <c r="P71" s="29"/>
      <c r="Q71" s="3"/>
      <c r="R71" s="3"/>
      <c r="T71"/>
      <c r="Z71" s="12"/>
    </row>
    <row r="72" spans="1:35" s="34" customFormat="1" x14ac:dyDescent="0.35">
      <c r="D72" s="40"/>
      <c r="E72"/>
      <c r="F72" s="3"/>
      <c r="G72" s="3"/>
      <c r="H72" s="3"/>
      <c r="I72" s="33"/>
      <c r="J72" s="29"/>
      <c r="K72" s="10"/>
      <c r="L72" s="29"/>
      <c r="M72"/>
      <c r="N72" s="29"/>
      <c r="O72" s="3"/>
      <c r="P72" s="29"/>
      <c r="Q72" s="3"/>
      <c r="R72" s="3"/>
      <c r="T72"/>
      <c r="Z72" s="12"/>
    </row>
    <row r="73" spans="1:35" s="34" customFormat="1" x14ac:dyDescent="0.35">
      <c r="D73" s="40"/>
      <c r="E73" s="24"/>
      <c r="F73" s="23"/>
      <c r="G73" s="23"/>
      <c r="H73" s="26"/>
      <c r="I73" s="33"/>
      <c r="J73" s="29"/>
      <c r="K73" s="10"/>
      <c r="L73" s="22"/>
      <c r="M73" s="21"/>
      <c r="N73" s="22"/>
      <c r="O73" s="22"/>
      <c r="P73" s="22"/>
      <c r="Q73" s="23"/>
      <c r="R73" s="23"/>
      <c r="S73" s="22"/>
      <c r="T73" s="21"/>
      <c r="U73"/>
      <c r="V73"/>
      <c r="W73"/>
      <c r="X73"/>
      <c r="Y73"/>
    </row>
    <row r="74" spans="1:35" s="34" customFormat="1" x14ac:dyDescent="0.35">
      <c r="D74" s="40"/>
      <c r="E74" s="24"/>
      <c r="F74" s="23"/>
      <c r="G74" s="23"/>
      <c r="H74" s="26"/>
      <c r="I74" s="33"/>
      <c r="J74" s="22"/>
      <c r="K74" s="10"/>
      <c r="L74" s="23"/>
      <c r="M74" s="21"/>
      <c r="N74" s="22"/>
      <c r="O74" s="22"/>
      <c r="P74" s="22"/>
      <c r="Q74" s="23"/>
      <c r="R74" s="23"/>
      <c r="S74" s="22"/>
      <c r="T74" s="21"/>
      <c r="U74"/>
      <c r="V74"/>
      <c r="W74"/>
      <c r="X74"/>
      <c r="Y74"/>
    </row>
    <row r="75" spans="1:35" s="34" customFormat="1" x14ac:dyDescent="0.35">
      <c r="D75" s="40"/>
      <c r="F75" s="3"/>
      <c r="I75" s="33"/>
      <c r="K75" s="10"/>
      <c r="L75" s="23"/>
      <c r="Z75" s="10"/>
    </row>
    <row r="76" spans="1:35" s="34" customFormat="1" x14ac:dyDescent="0.35">
      <c r="D76" s="40"/>
      <c r="E76" s="2" t="s">
        <v>238</v>
      </c>
      <c r="F76" s="3" t="s">
        <v>239</v>
      </c>
      <c r="G76" s="3" t="s">
        <v>48</v>
      </c>
      <c r="H76" s="3" t="s">
        <v>45</v>
      </c>
      <c r="I76" s="33">
        <f xml:space="preserve"> I75+J75</f>
        <v>0</v>
      </c>
      <c r="J76" s="29">
        <v>4</v>
      </c>
      <c r="K76" s="10" t="str">
        <f xml:space="preserve"> IFERROR("0x" &amp; DEC2HEX(VLOOKUP(F76,Common!$C$10:$D$34,2,FALSE),2) &amp; DEC2HEX(I76,3) &amp; DEC2HEX(VLOOKUP(G76,Common!$C$51:$D$55,2,FALSE),1) &amp; DEC2HEX(1+2*VLOOKUP(H76,Common!$C$69:$D$72,2,FALSE),1) &amp; DEC2HEX(IFERROR(LOG(J76,2),0),1),0)</f>
        <v>0x06000112</v>
      </c>
      <c r="L76" s="29" t="str">
        <f>IF(AND(LEN(E76)&lt;&gt;0,S76=""),F76&amp;"_"&amp;UPPER(E76),"")</f>
        <v>DBG_WRITES_CONF</v>
      </c>
      <c r="M76" t="s">
        <v>240</v>
      </c>
      <c r="N76" s="29"/>
      <c r="O76" s="29">
        <v>0</v>
      </c>
      <c r="P76" s="29">
        <v>1000000</v>
      </c>
      <c r="Q76" s="3" t="s">
        <v>241</v>
      </c>
      <c r="R76" s="29"/>
      <c r="S76" s="29"/>
      <c r="T76" t="s">
        <v>242</v>
      </c>
      <c r="U76"/>
      <c r="V76"/>
      <c r="W76"/>
      <c r="X76"/>
      <c r="Y76"/>
      <c r="Z76" s="10"/>
    </row>
    <row r="77" spans="1:35" s="34" customFormat="1" x14ac:dyDescent="0.35">
      <c r="D77" s="40"/>
    </row>
    <row r="78" spans="1:35" s="34" customFormat="1" x14ac:dyDescent="0.35">
      <c r="D78" s="40"/>
      <c r="E78" s="10"/>
      <c r="F78" s="10"/>
      <c r="G78" s="10"/>
      <c r="H78" s="10"/>
      <c r="I78" s="10"/>
      <c r="J78" s="10"/>
      <c r="K78" s="10"/>
      <c r="L78" s="10"/>
      <c r="M78" s="10"/>
      <c r="N78" s="10"/>
      <c r="O78" s="10"/>
      <c r="P78" s="10"/>
      <c r="Q78" s="10"/>
      <c r="R78" s="10"/>
      <c r="S78" s="10"/>
      <c r="T78" s="10"/>
      <c r="U78" s="10"/>
      <c r="V78" s="10"/>
      <c r="W78" s="10"/>
      <c r="X78" s="10"/>
      <c r="Y78" s="10"/>
      <c r="Z78" s="10"/>
    </row>
    <row r="79" spans="1:35" s="34" customFormat="1" x14ac:dyDescent="0.35">
      <c r="D79" s="40"/>
    </row>
    <row r="80" spans="1:35" s="10" customFormat="1" x14ac:dyDescent="0.35">
      <c r="A80" s="12"/>
      <c r="B80" s="12"/>
      <c r="C80" s="12"/>
      <c r="D80"/>
      <c r="AA80" s="12"/>
      <c r="AB80" s="12"/>
      <c r="AC80" s="12"/>
      <c r="AD80" s="12"/>
      <c r="AE80" s="12"/>
      <c r="AF80" s="12"/>
      <c r="AG80" s="12"/>
      <c r="AH80" s="12"/>
      <c r="AI80" s="12"/>
    </row>
    <row r="81" spans="1:35" s="10" customFormat="1" x14ac:dyDescent="0.35">
      <c r="A81" s="12"/>
      <c r="B81" s="12"/>
      <c r="C81" s="12"/>
      <c r="D81"/>
      <c r="AA81" s="12"/>
      <c r="AB81" s="12"/>
      <c r="AC81" s="12"/>
      <c r="AD81" s="12"/>
      <c r="AE81" s="12"/>
      <c r="AF81" s="12"/>
      <c r="AG81" s="12"/>
      <c r="AH81" s="12"/>
      <c r="AI81" s="12"/>
    </row>
    <row r="82" spans="1:35" s="34" customFormat="1" x14ac:dyDescent="0.35">
      <c r="D82" s="40"/>
    </row>
    <row r="83" spans="1:35" s="10" customFormat="1" x14ac:dyDescent="0.35">
      <c r="A83" s="12"/>
      <c r="B83" s="12"/>
      <c r="C83" s="12"/>
      <c r="D83"/>
      <c r="AA83" s="12"/>
      <c r="AB83" s="12"/>
      <c r="AC83" s="12"/>
      <c r="AD83" s="12"/>
      <c r="AE83" s="12"/>
      <c r="AF83" s="12"/>
      <c r="AG83" s="12"/>
      <c r="AH83" s="12"/>
      <c r="AI83" s="12"/>
    </row>
    <row r="84" spans="1:35" s="10" customFormat="1" x14ac:dyDescent="0.35">
      <c r="A84" s="12"/>
      <c r="B84" s="12"/>
      <c r="C84" s="12"/>
      <c r="D84"/>
      <c r="AA84" s="12"/>
      <c r="AB84" s="12"/>
      <c r="AC84" s="12"/>
      <c r="AD84" s="12"/>
      <c r="AE84" s="12"/>
      <c r="AF84" s="12"/>
      <c r="AG84" s="12"/>
      <c r="AH84" s="12"/>
      <c r="AI84" s="12"/>
    </row>
    <row r="85" spans="1:35" s="10" customFormat="1" x14ac:dyDescent="0.35">
      <c r="A85" s="12"/>
      <c r="B85" s="12"/>
      <c r="C85" s="12"/>
      <c r="D85"/>
      <c r="E85" s="24"/>
      <c r="F85" s="23"/>
      <c r="G85" s="23"/>
      <c r="H85" s="26"/>
      <c r="I85" s="22"/>
      <c r="J85" s="22"/>
      <c r="K85" s="22"/>
      <c r="L85" s="22"/>
      <c r="M85" s="21"/>
      <c r="N85" s="22"/>
      <c r="O85" s="22"/>
      <c r="P85" s="22"/>
      <c r="Q85" s="23"/>
      <c r="R85" s="23"/>
      <c r="S85" s="22"/>
      <c r="T85" s="21"/>
      <c r="U85"/>
      <c r="V85"/>
      <c r="W85"/>
      <c r="X85"/>
      <c r="Y85"/>
      <c r="Z85" s="12"/>
      <c r="AA85" s="12"/>
      <c r="AB85" s="12"/>
      <c r="AC85" s="12"/>
      <c r="AD85" s="12"/>
      <c r="AE85" s="12"/>
      <c r="AF85" s="12"/>
      <c r="AG85" s="12"/>
      <c r="AH85" s="12"/>
      <c r="AI85" s="12"/>
    </row>
    <row r="86" spans="1:35" s="10" customFormat="1" x14ac:dyDescent="0.3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35">
      <c r="A87" s="12"/>
      <c r="B87" s="12"/>
      <c r="C87" s="12"/>
      <c r="D87"/>
      <c r="E87" s="24"/>
      <c r="F87" s="23"/>
      <c r="G87" s="23"/>
      <c r="H87" s="26"/>
      <c r="I87" s="22"/>
      <c r="J87" s="22"/>
      <c r="K87" s="22"/>
      <c r="L87" s="22"/>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35">
      <c r="A88" s="12"/>
      <c r="B88" s="12"/>
      <c r="C88" s="12"/>
      <c r="D88"/>
      <c r="E88" s="24"/>
      <c r="F88" s="23"/>
      <c r="G88" s="23"/>
      <c r="H88" s="26"/>
      <c r="I88" s="22"/>
      <c r="J88" s="22"/>
      <c r="K88" s="22"/>
      <c r="L88" s="22"/>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35">
      <c r="A89" s="12"/>
      <c r="B89" s="12"/>
      <c r="C89" s="12"/>
      <c r="D89"/>
      <c r="E89" s="24"/>
      <c r="F89" s="23"/>
      <c r="G89" s="23"/>
      <c r="H89" s="26"/>
      <c r="I89" s="22"/>
      <c r="J89" s="22"/>
      <c r="K89" s="22"/>
      <c r="L89" s="22"/>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3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3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3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35">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35">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35">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35">
      <c r="A96" s="12"/>
      <c r="B96" s="12"/>
      <c r="C96" s="12"/>
      <c r="D96"/>
      <c r="E96" s="24"/>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35">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3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3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3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3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3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3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35">
      <c r="A104" s="12"/>
      <c r="B104" s="12"/>
      <c r="C104" s="12"/>
      <c r="D104"/>
      <c r="E104" s="24"/>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35">
      <c r="A105" s="12"/>
      <c r="B105" s="12"/>
      <c r="C105" s="12"/>
      <c r="D105"/>
      <c r="E105" s="24"/>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35">
      <c r="A106" s="12"/>
      <c r="B106" s="12"/>
      <c r="C106" s="12"/>
      <c r="D106"/>
      <c r="E106" s="24"/>
      <c r="F106" s="23"/>
      <c r="G106" s="22"/>
      <c r="H106" s="25"/>
      <c r="I106" s="22"/>
      <c r="J106" s="22"/>
      <c r="K106" s="22"/>
      <c r="L106" s="22"/>
      <c r="M106" s="24"/>
      <c r="N106" s="22"/>
      <c r="O106" s="22"/>
      <c r="P106" s="22"/>
      <c r="Q106" s="22"/>
      <c r="R106" s="22"/>
      <c r="S106" s="22"/>
      <c r="T106" s="19"/>
      <c r="U106"/>
      <c r="V106"/>
      <c r="W106"/>
      <c r="X106"/>
      <c r="Y106"/>
      <c r="Z106" s="12"/>
      <c r="AA106" s="12"/>
      <c r="AB106" s="12"/>
      <c r="AC106" s="12"/>
      <c r="AD106" s="12"/>
      <c r="AE106" s="12"/>
      <c r="AF106" s="12"/>
      <c r="AG106" s="12"/>
      <c r="AH106" s="12"/>
      <c r="AI106" s="12"/>
    </row>
    <row r="107" spans="1:35" s="10" customFormat="1" x14ac:dyDescent="0.35">
      <c r="A107" s="12"/>
      <c r="B107" s="12"/>
      <c r="C107" s="12"/>
      <c r="D107"/>
      <c r="E107" s="24"/>
      <c r="F107" s="23"/>
      <c r="G107" s="22"/>
      <c r="H107" s="22"/>
      <c r="I107" s="22"/>
      <c r="J107" s="22"/>
      <c r="K107" s="22"/>
      <c r="L107" s="22"/>
      <c r="M107" s="21"/>
      <c r="N107" s="22"/>
      <c r="O107" s="22"/>
      <c r="P107" s="22"/>
      <c r="Q107" s="22"/>
      <c r="R107" s="22"/>
      <c r="S107" s="22"/>
      <c r="T107" s="19"/>
      <c r="U107"/>
      <c r="V107"/>
      <c r="W107"/>
      <c r="X107"/>
      <c r="Y107"/>
      <c r="Z107" s="12"/>
      <c r="AA107" s="12"/>
      <c r="AB107" s="12"/>
      <c r="AC107" s="12"/>
      <c r="AD107" s="12"/>
      <c r="AE107" s="12"/>
      <c r="AF107" s="12"/>
      <c r="AG107" s="12"/>
      <c r="AH107" s="12"/>
      <c r="AI107" s="12"/>
    </row>
    <row r="108" spans="1:35" s="10" customFormat="1" x14ac:dyDescent="0.35">
      <c r="A108" s="12"/>
      <c r="B108" s="12"/>
      <c r="C108" s="12"/>
      <c r="D108"/>
      <c r="E108" s="24"/>
      <c r="F108" s="23"/>
      <c r="G108" s="23"/>
      <c r="H108" s="26"/>
      <c r="I108" s="22"/>
      <c r="J108" s="22"/>
      <c r="K108" s="22"/>
      <c r="L108" s="22"/>
      <c r="M108" s="24"/>
      <c r="N108" s="22"/>
      <c r="O108" s="22"/>
      <c r="P108" s="22"/>
      <c r="Q108" s="22"/>
      <c r="R108" s="28"/>
      <c r="S108" s="22"/>
      <c r="T108" s="24"/>
      <c r="U108"/>
      <c r="V108"/>
      <c r="W108"/>
      <c r="X108"/>
      <c r="Y108"/>
      <c r="Z108" s="12"/>
      <c r="AA108" s="12"/>
      <c r="AB108" s="12"/>
      <c r="AC108" s="12"/>
      <c r="AD108" s="12"/>
      <c r="AE108" s="12"/>
      <c r="AF108" s="12"/>
      <c r="AG108" s="12"/>
      <c r="AH108" s="12"/>
      <c r="AI108" s="12"/>
    </row>
    <row r="109" spans="1:35" s="10" customFormat="1" x14ac:dyDescent="0.35">
      <c r="A109" s="12"/>
      <c r="B109" s="12"/>
      <c r="C109" s="12"/>
      <c r="D109"/>
      <c r="E109" s="19"/>
      <c r="F109" s="23"/>
      <c r="G109" s="22"/>
      <c r="H109" s="22"/>
      <c r="I109" s="22"/>
      <c r="J109" s="22"/>
      <c r="K109" s="22"/>
      <c r="L109" s="23"/>
      <c r="M109" s="24"/>
      <c r="N109" s="22"/>
      <c r="O109" s="22"/>
      <c r="P109" s="22"/>
      <c r="Q109" s="22"/>
      <c r="R109" s="28"/>
      <c r="S109" s="22"/>
      <c r="T109" s="24"/>
      <c r="U109"/>
      <c r="V109"/>
      <c r="W109"/>
      <c r="X109"/>
      <c r="Y109"/>
      <c r="Z109" s="12"/>
      <c r="AA109" s="12"/>
      <c r="AB109" s="12"/>
      <c r="AC109" s="12"/>
      <c r="AD109" s="12"/>
      <c r="AE109" s="12"/>
      <c r="AF109" s="12"/>
      <c r="AG109" s="12"/>
      <c r="AH109" s="12"/>
      <c r="AI109" s="12"/>
    </row>
    <row r="110" spans="1:35" s="10" customFormat="1" x14ac:dyDescent="0.35">
      <c r="A110" s="12"/>
      <c r="B110" s="12"/>
      <c r="C110" s="12"/>
      <c r="D110"/>
      <c r="E110" s="19"/>
      <c r="F110" s="23"/>
      <c r="G110" s="22"/>
      <c r="H110" s="25"/>
      <c r="I110" s="22"/>
      <c r="J110" s="22"/>
      <c r="K110" s="22"/>
      <c r="L110" s="23"/>
      <c r="M110" s="24"/>
      <c r="N110" s="22"/>
      <c r="O110" s="22"/>
      <c r="P110" s="22"/>
      <c r="Q110" s="22"/>
      <c r="R110" s="28"/>
      <c r="S110" s="22"/>
      <c r="T110" s="24"/>
      <c r="U110"/>
      <c r="V110"/>
      <c r="W110"/>
      <c r="X110"/>
      <c r="Y110"/>
      <c r="Z110" s="12"/>
      <c r="AA110" s="12"/>
      <c r="AB110" s="12"/>
      <c r="AC110" s="12"/>
      <c r="AD110" s="12"/>
      <c r="AE110" s="12"/>
      <c r="AF110" s="12"/>
      <c r="AG110" s="12"/>
      <c r="AH110" s="12"/>
      <c r="AI110" s="12"/>
    </row>
    <row r="111" spans="1:35" s="10" customFormat="1" x14ac:dyDescent="0.35">
      <c r="A111" s="12"/>
      <c r="B111" s="12"/>
      <c r="C111" s="12"/>
      <c r="D111"/>
      <c r="E111" s="19"/>
      <c r="F111" s="23"/>
      <c r="G111" s="22"/>
      <c r="H111" s="22"/>
      <c r="I111" s="22"/>
      <c r="J111" s="22"/>
      <c r="K111" s="22"/>
      <c r="L111" s="23"/>
      <c r="M111" s="24"/>
      <c r="N111" s="22"/>
      <c r="O111" s="22"/>
      <c r="P111" s="22"/>
      <c r="Q111" s="22"/>
      <c r="R111" s="28"/>
      <c r="S111" s="22"/>
      <c r="T111" s="24"/>
      <c r="U111"/>
      <c r="V111"/>
      <c r="W111"/>
      <c r="X111"/>
      <c r="Y111"/>
      <c r="Z111" s="12"/>
      <c r="AA111" s="12"/>
      <c r="AB111" s="12"/>
      <c r="AC111" s="12"/>
      <c r="AD111" s="12"/>
      <c r="AE111" s="12"/>
      <c r="AF111" s="12"/>
      <c r="AG111" s="12"/>
      <c r="AH111" s="12"/>
      <c r="AI111" s="12"/>
    </row>
    <row r="112" spans="1:35" s="10" customFormat="1" x14ac:dyDescent="0.35">
      <c r="A112" s="12"/>
      <c r="B112" s="12"/>
      <c r="C112" s="12"/>
      <c r="D112"/>
      <c r="E112" s="19"/>
      <c r="F112" s="23"/>
      <c r="G112" s="22"/>
      <c r="H112" s="22"/>
      <c r="I112" s="22"/>
      <c r="J112" s="22"/>
      <c r="K112" s="22"/>
      <c r="L112" s="23"/>
      <c r="M112" s="24"/>
      <c r="N112" s="22"/>
      <c r="O112" s="22"/>
      <c r="P112" s="22"/>
      <c r="Q112" s="22"/>
      <c r="R112" s="28"/>
      <c r="S112" s="22"/>
      <c r="T112" s="24"/>
      <c r="U112"/>
      <c r="V112"/>
      <c r="W112"/>
      <c r="X112"/>
      <c r="Y112"/>
      <c r="Z112" s="12"/>
      <c r="AA112" s="12"/>
      <c r="AB112" s="12"/>
      <c r="AC112" s="12"/>
      <c r="AD112" s="12"/>
      <c r="AE112" s="12"/>
      <c r="AF112" s="12"/>
      <c r="AG112" s="12"/>
      <c r="AH112" s="12"/>
      <c r="AI112" s="12"/>
    </row>
    <row r="113" spans="1:35" s="10" customFormat="1" x14ac:dyDescent="0.35">
      <c r="A113" s="12"/>
      <c r="B113" s="12"/>
      <c r="C113" s="12"/>
      <c r="D113"/>
      <c r="E113" s="24"/>
      <c r="F113" s="23"/>
      <c r="G113" s="23"/>
      <c r="H113" s="23"/>
      <c r="I113" s="22"/>
      <c r="J113" s="22"/>
      <c r="K113" s="22"/>
      <c r="L113" s="22"/>
      <c r="M113" s="24"/>
      <c r="N113" s="22"/>
      <c r="O113" s="22"/>
      <c r="P113" s="22"/>
      <c r="Q113" s="22"/>
      <c r="R113" s="28"/>
      <c r="S113" s="22"/>
      <c r="T113" s="24"/>
      <c r="U113"/>
      <c r="V113"/>
      <c r="W113"/>
      <c r="X113"/>
      <c r="Y113"/>
      <c r="Z113" s="12"/>
      <c r="AA113" s="12"/>
      <c r="AB113" s="12"/>
      <c r="AC113" s="12"/>
      <c r="AD113" s="12"/>
      <c r="AE113" s="12"/>
      <c r="AF113" s="12"/>
      <c r="AG113" s="12"/>
      <c r="AH113" s="12"/>
      <c r="AI113" s="12"/>
    </row>
    <row r="114" spans="1:35" s="10" customFormat="1" x14ac:dyDescent="0.35">
      <c r="A114" s="12"/>
      <c r="B114" s="12"/>
      <c r="C114" s="12"/>
      <c r="D114"/>
      <c r="E114" s="19"/>
      <c r="F114" s="23"/>
      <c r="G114" s="22"/>
      <c r="H114" s="22"/>
      <c r="I114" s="22"/>
      <c r="J114" s="22"/>
      <c r="K114" s="22"/>
      <c r="L114" s="23"/>
      <c r="M114" s="24"/>
      <c r="N114" s="22"/>
      <c r="O114" s="22"/>
      <c r="P114" s="22"/>
      <c r="Q114" s="22"/>
      <c r="R114" s="28"/>
      <c r="S114" s="22"/>
      <c r="T114" s="24"/>
      <c r="U114"/>
      <c r="V114"/>
      <c r="W114"/>
      <c r="X114"/>
      <c r="Y114"/>
      <c r="Z114" s="12"/>
      <c r="AA114" s="12"/>
      <c r="AB114" s="12"/>
      <c r="AC114" s="12"/>
      <c r="AD114" s="12"/>
      <c r="AE114" s="12"/>
      <c r="AF114" s="12"/>
      <c r="AG114" s="12"/>
      <c r="AH114" s="12"/>
      <c r="AI114" s="12"/>
    </row>
    <row r="115" spans="1:35" s="10" customFormat="1" x14ac:dyDescent="0.35">
      <c r="A115" s="12"/>
      <c r="B115" s="12"/>
      <c r="C115" s="12"/>
      <c r="D115"/>
      <c r="E115" s="19"/>
      <c r="F115" s="23"/>
      <c r="G115" s="22"/>
      <c r="H115" s="22"/>
      <c r="I115" s="22"/>
      <c r="J115" s="22"/>
      <c r="K115" s="22"/>
      <c r="L115" s="23"/>
      <c r="M115" s="21"/>
      <c r="N115" s="22"/>
      <c r="O115" s="22"/>
      <c r="P115" s="22"/>
      <c r="Q115" s="22"/>
      <c r="R115" s="28"/>
      <c r="S115" s="22"/>
      <c r="T115" s="24"/>
      <c r="U115"/>
      <c r="V115"/>
      <c r="W115"/>
      <c r="X115"/>
      <c r="Y115"/>
      <c r="Z115" s="12"/>
      <c r="AA115" s="12"/>
      <c r="AB115" s="12"/>
      <c r="AC115" s="12"/>
      <c r="AD115" s="12"/>
      <c r="AE115" s="12"/>
      <c r="AF115" s="12"/>
      <c r="AG115" s="12"/>
      <c r="AH115" s="12"/>
      <c r="AI115" s="12"/>
    </row>
    <row r="116" spans="1:35" s="10" customFormat="1" x14ac:dyDescent="0.35">
      <c r="A116" s="12"/>
      <c r="B116" s="12"/>
      <c r="C116" s="12"/>
      <c r="D116"/>
      <c r="E116" s="21"/>
      <c r="F116" s="23"/>
      <c r="G116" s="23"/>
      <c r="H116" s="23"/>
      <c r="I116" s="22"/>
      <c r="J116" s="22"/>
      <c r="K116" s="22"/>
      <c r="L116" s="22"/>
      <c r="M116" s="21"/>
      <c r="N116" s="22"/>
      <c r="O116" s="22"/>
      <c r="P116" s="22"/>
      <c r="Q116" s="22"/>
      <c r="R116" s="22"/>
      <c r="S116" s="22"/>
      <c r="T116" s="21"/>
      <c r="U116"/>
      <c r="V116"/>
      <c r="W116"/>
      <c r="X116"/>
      <c r="Y116"/>
      <c r="Z116" s="12"/>
      <c r="AA116" s="12"/>
      <c r="AB116" s="12"/>
      <c r="AC116" s="12"/>
      <c r="AD116" s="12"/>
      <c r="AE116" s="12"/>
      <c r="AF116" s="12"/>
      <c r="AG116" s="12"/>
      <c r="AH116" s="12"/>
      <c r="AI116" s="12"/>
    </row>
    <row r="117" spans="1:35" s="10" customFormat="1" x14ac:dyDescent="0.35">
      <c r="A117" s="12"/>
      <c r="B117" s="12"/>
      <c r="C117" s="12"/>
      <c r="D117"/>
      <c r="E117" s="24"/>
      <c r="F117" s="23"/>
      <c r="G117" s="23"/>
      <c r="H117" s="23"/>
      <c r="I117" s="22"/>
      <c r="J117" s="22"/>
      <c r="K117" s="22"/>
      <c r="L117" s="23"/>
      <c r="M117" s="21"/>
      <c r="N117" s="22"/>
      <c r="O117" s="22"/>
      <c r="P117" s="22"/>
      <c r="Q117" s="22"/>
      <c r="R117" s="28"/>
      <c r="S117" s="22"/>
      <c r="T117" s="24"/>
      <c r="U117"/>
      <c r="V117"/>
      <c r="W117"/>
      <c r="X117"/>
      <c r="Y117"/>
      <c r="Z117" s="12"/>
      <c r="AA117" s="12"/>
      <c r="AB117" s="12"/>
      <c r="AC117" s="12"/>
      <c r="AD117" s="12"/>
      <c r="AE117" s="12"/>
      <c r="AF117" s="12"/>
      <c r="AG117" s="12"/>
      <c r="AH117" s="12"/>
      <c r="AI117" s="12"/>
    </row>
    <row r="118" spans="1:35" s="10" customFormat="1" x14ac:dyDescent="0.35">
      <c r="A118" s="12"/>
      <c r="B118" s="12"/>
      <c r="C118" s="12"/>
      <c r="D118"/>
      <c r="E118" s="24"/>
      <c r="F118" s="23"/>
      <c r="G118" s="23"/>
      <c r="H118" s="23"/>
      <c r="I118" s="22"/>
      <c r="J118" s="22"/>
      <c r="K118" s="22"/>
      <c r="L118" s="23"/>
      <c r="M118" s="21"/>
      <c r="N118" s="22"/>
      <c r="O118" s="22"/>
      <c r="P118" s="22"/>
      <c r="Q118" s="22"/>
      <c r="R118" s="28"/>
      <c r="S118" s="22"/>
      <c r="T118" s="24"/>
      <c r="U118"/>
      <c r="V118"/>
      <c r="W118"/>
      <c r="X118"/>
      <c r="Y118"/>
      <c r="Z118" s="12"/>
      <c r="AA118" s="12"/>
      <c r="AB118" s="12"/>
      <c r="AC118" s="12"/>
      <c r="AD118" s="12"/>
      <c r="AE118" s="12"/>
      <c r="AF118" s="12"/>
      <c r="AG118" s="12"/>
      <c r="AH118" s="12"/>
      <c r="AI118" s="12"/>
    </row>
    <row r="119" spans="1:35" s="10" customFormat="1" x14ac:dyDescent="0.35">
      <c r="A119" s="12"/>
      <c r="B119" s="12"/>
      <c r="C119" s="12"/>
      <c r="D119"/>
      <c r="E119" s="24"/>
      <c r="F119" s="23"/>
      <c r="G119" s="23"/>
      <c r="H119" s="23"/>
      <c r="I119" s="22"/>
      <c r="J119" s="22"/>
      <c r="K119" s="22"/>
      <c r="L119" s="22"/>
      <c r="M119" s="21"/>
      <c r="N119" s="22"/>
      <c r="O119" s="22"/>
      <c r="P119" s="22"/>
      <c r="Q119" s="22"/>
      <c r="R119" s="28"/>
      <c r="S119" s="22"/>
      <c r="T119" s="24"/>
      <c r="U119"/>
      <c r="V119"/>
      <c r="W119"/>
      <c r="X119"/>
      <c r="Y119"/>
      <c r="Z119" s="12"/>
      <c r="AA119" s="12"/>
      <c r="AB119" s="12"/>
      <c r="AC119" s="12"/>
      <c r="AD119" s="12"/>
      <c r="AE119" s="12"/>
      <c r="AF119" s="12"/>
      <c r="AG119" s="12"/>
      <c r="AH119" s="12"/>
      <c r="AI119" s="12"/>
    </row>
    <row r="120" spans="1:35" s="10" customFormat="1" x14ac:dyDescent="0.35">
      <c r="A120" s="12"/>
      <c r="B120" s="12"/>
      <c r="C120" s="12"/>
      <c r="D120"/>
      <c r="E120" s="24"/>
      <c r="F120" s="23"/>
      <c r="G120" s="23"/>
      <c r="H120" s="26"/>
      <c r="I120" s="22"/>
      <c r="J120" s="22"/>
      <c r="K120" s="22"/>
      <c r="L120" s="22"/>
      <c r="M120" s="30"/>
      <c r="N120" s="22"/>
      <c r="O120" s="22"/>
      <c r="P120" s="22"/>
      <c r="Q120" s="23"/>
      <c r="R120" s="23"/>
      <c r="S120" s="22"/>
      <c r="T120" s="27"/>
      <c r="U120"/>
      <c r="V120"/>
      <c r="W120"/>
      <c r="X120"/>
      <c r="Y120"/>
      <c r="Z120" s="12"/>
      <c r="AA120" s="12"/>
      <c r="AB120" s="12"/>
      <c r="AC120" s="12"/>
      <c r="AD120" s="12"/>
      <c r="AE120" s="12"/>
      <c r="AF120" s="12"/>
      <c r="AG120" s="12"/>
      <c r="AH120" s="12"/>
      <c r="AI120" s="12"/>
    </row>
    <row r="121" spans="1:35" s="10" customFormat="1" x14ac:dyDescent="0.35">
      <c r="A121" s="12"/>
      <c r="B121" s="12"/>
      <c r="C121" s="12"/>
      <c r="D121"/>
      <c r="E121" s="24"/>
      <c r="F121" s="23"/>
      <c r="G121" s="23"/>
      <c r="H121" s="26"/>
      <c r="I121" s="22"/>
      <c r="J121" s="22"/>
      <c r="K121" s="22"/>
      <c r="L121" s="22"/>
      <c r="M121" s="24"/>
      <c r="N121" s="22"/>
      <c r="O121" s="22"/>
      <c r="P121" s="22"/>
      <c r="Q121" s="23"/>
      <c r="R121" s="23"/>
      <c r="S121" s="22"/>
      <c r="T121" s="24"/>
      <c r="U121"/>
      <c r="V121"/>
      <c r="W121"/>
      <c r="X121"/>
      <c r="Y121"/>
      <c r="Z121" s="12"/>
      <c r="AA121" s="12"/>
      <c r="AB121" s="12"/>
      <c r="AC121" s="12"/>
      <c r="AD121" s="12"/>
      <c r="AE121" s="12"/>
      <c r="AF121" s="12"/>
      <c r="AG121" s="12"/>
      <c r="AH121" s="12"/>
      <c r="AI121" s="12"/>
    </row>
    <row r="122" spans="1:35" s="10" customFormat="1" x14ac:dyDescent="0.35">
      <c r="A122" s="12"/>
      <c r="B122" s="12"/>
      <c r="C122" s="12"/>
      <c r="D122"/>
      <c r="E122" s="24"/>
      <c r="F122" s="23"/>
      <c r="G122" s="23"/>
      <c r="H122" s="26"/>
      <c r="I122" s="22"/>
      <c r="J122" s="22"/>
      <c r="K122" s="22"/>
      <c r="L122" s="22"/>
      <c r="M122" s="24"/>
      <c r="N122" s="22"/>
      <c r="O122" s="22"/>
      <c r="P122" s="22"/>
      <c r="Q122" s="23"/>
      <c r="R122" s="23"/>
      <c r="S122" s="22"/>
      <c r="T122" s="24"/>
      <c r="U122"/>
      <c r="V122"/>
      <c r="W122"/>
      <c r="X122"/>
      <c r="Y122"/>
      <c r="Z122" s="12"/>
      <c r="AA122" s="12"/>
      <c r="AB122" s="12"/>
      <c r="AC122" s="12"/>
      <c r="AD122" s="12"/>
      <c r="AE122" s="12"/>
      <c r="AF122" s="12"/>
      <c r="AG122" s="12"/>
      <c r="AH122" s="12"/>
      <c r="AI122" s="12"/>
    </row>
    <row r="123" spans="1:35" s="10" customFormat="1" x14ac:dyDescent="0.35">
      <c r="A123" s="12"/>
      <c r="B123" s="12"/>
      <c r="C123" s="12"/>
      <c r="D123"/>
      <c r="E123" s="24"/>
      <c r="F123" s="23"/>
      <c r="G123" s="23"/>
      <c r="H123" s="26"/>
      <c r="I123" s="22"/>
      <c r="J123" s="22"/>
      <c r="K123" s="22"/>
      <c r="L123" s="22"/>
      <c r="M123" s="24"/>
      <c r="N123" s="22"/>
      <c r="O123" s="22"/>
      <c r="P123" s="22"/>
      <c r="Q123" s="23"/>
      <c r="R123" s="23"/>
      <c r="S123" s="22"/>
      <c r="T123" s="24"/>
      <c r="U123"/>
      <c r="V123"/>
      <c r="W123"/>
      <c r="X123"/>
      <c r="Y123"/>
      <c r="Z123" s="12"/>
      <c r="AA123" s="12"/>
      <c r="AB123" s="12"/>
      <c r="AC123" s="12"/>
      <c r="AD123" s="12"/>
      <c r="AE123" s="12"/>
      <c r="AF123" s="12"/>
      <c r="AG123" s="12"/>
      <c r="AH123" s="12"/>
      <c r="AI123" s="12"/>
    </row>
    <row r="124" spans="1:35" s="10" customFormat="1" x14ac:dyDescent="0.35">
      <c r="A124" s="12"/>
      <c r="B124" s="12"/>
      <c r="C124" s="12"/>
      <c r="D124"/>
      <c r="E124" s="24"/>
      <c r="F124" s="23"/>
      <c r="G124" s="23"/>
      <c r="H124" s="26"/>
      <c r="I124" s="22"/>
      <c r="J124" s="22"/>
      <c r="K124" s="22"/>
      <c r="L124" s="22"/>
      <c r="M124" s="24"/>
      <c r="N124" s="22"/>
      <c r="O124" s="22"/>
      <c r="P124" s="22"/>
      <c r="Q124" s="23"/>
      <c r="R124" s="23"/>
      <c r="S124" s="22"/>
      <c r="T124" s="24"/>
      <c r="U124"/>
      <c r="V124"/>
      <c r="W124"/>
      <c r="X124"/>
      <c r="Y124"/>
      <c r="Z124" s="12"/>
      <c r="AA124" s="12"/>
      <c r="AB124" s="12"/>
      <c r="AC124" s="12"/>
      <c r="AD124" s="12"/>
      <c r="AE124" s="12"/>
      <c r="AF124" s="12"/>
      <c r="AG124" s="12"/>
      <c r="AH124" s="12"/>
      <c r="AI124" s="12"/>
    </row>
    <row r="125" spans="1:35" s="10" customFormat="1" x14ac:dyDescent="0.3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3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3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3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3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3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3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35">
      <c r="A132" s="12"/>
      <c r="B132" s="12"/>
      <c r="C132" s="12"/>
      <c r="D132"/>
      <c r="E132" s="24"/>
      <c r="F132" s="23"/>
      <c r="G132" s="23"/>
      <c r="H132" s="23"/>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35">
      <c r="A133" s="12"/>
      <c r="B133" s="12"/>
      <c r="C133" s="12"/>
      <c r="D133"/>
      <c r="E133" s="24"/>
      <c r="F133" s="23"/>
      <c r="G133" s="23"/>
      <c r="H133" s="23"/>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35">
      <c r="A134" s="12"/>
      <c r="B134" s="12"/>
      <c r="C134" s="12"/>
      <c r="D134"/>
      <c r="E134" s="24"/>
      <c r="F134" s="23"/>
      <c r="G134" s="23"/>
      <c r="H134" s="23"/>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35">
      <c r="A135" s="12"/>
      <c r="B135" s="12"/>
      <c r="C135" s="12"/>
      <c r="D135"/>
      <c r="E135" s="24"/>
      <c r="F135" s="23"/>
      <c r="G135" s="23"/>
      <c r="H135" s="23"/>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35">
      <c r="A136" s="12"/>
      <c r="B136" s="12"/>
      <c r="C136" s="12"/>
      <c r="D136"/>
      <c r="E136" s="24"/>
      <c r="F136" s="23"/>
      <c r="G136" s="23"/>
      <c r="H136" s="23"/>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35">
      <c r="A137" s="12"/>
      <c r="B137" s="12"/>
      <c r="C137" s="12"/>
      <c r="D137"/>
      <c r="E137" s="24"/>
      <c r="F137" s="23"/>
      <c r="G137" s="23"/>
      <c r="H137" s="23"/>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3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35">
      <c r="A139" s="12"/>
      <c r="B139" s="12"/>
      <c r="C139" s="12"/>
      <c r="D139"/>
      <c r="E139" s="24"/>
      <c r="F139" s="23"/>
      <c r="G139" s="23"/>
      <c r="H139" s="26"/>
      <c r="I139" s="22"/>
      <c r="J139" s="22"/>
      <c r="K139" s="22"/>
      <c r="L139" s="22"/>
      <c r="M139" s="21"/>
      <c r="N139" s="22"/>
      <c r="O139" s="22"/>
      <c r="P139" s="22"/>
      <c r="Q139" s="22"/>
      <c r="R139" s="28"/>
      <c r="S139" s="22"/>
      <c r="T139" s="21"/>
      <c r="U139"/>
      <c r="V139"/>
      <c r="W139"/>
      <c r="X139"/>
      <c r="Y139"/>
      <c r="Z139" s="12"/>
      <c r="AA139" s="12"/>
      <c r="AB139" s="12"/>
      <c r="AC139" s="12"/>
      <c r="AD139" s="12"/>
      <c r="AE139" s="12"/>
      <c r="AF139" s="12"/>
      <c r="AG139" s="12"/>
      <c r="AH139" s="12"/>
      <c r="AI139" s="12"/>
    </row>
    <row r="140" spans="1:35" s="10" customFormat="1" x14ac:dyDescent="0.35">
      <c r="A140" s="12"/>
      <c r="B140" s="12"/>
      <c r="C140" s="12"/>
      <c r="D140"/>
      <c r="E140" s="21"/>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35">
      <c r="A141" s="12"/>
      <c r="B141" s="12"/>
      <c r="C141" s="12"/>
      <c r="D141"/>
      <c r="E141" s="21"/>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35">
      <c r="A142" s="12"/>
      <c r="B142" s="12"/>
      <c r="C142" s="12"/>
      <c r="D142"/>
      <c r="E142" s="21"/>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35">
      <c r="A143" s="12"/>
      <c r="B143" s="12"/>
      <c r="C143" s="12"/>
      <c r="D143"/>
      <c r="E143" s="21"/>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35">
      <c r="A144" s="12"/>
      <c r="B144" s="12"/>
      <c r="C144" s="12"/>
      <c r="D144"/>
      <c r="E144" s="21"/>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35">
      <c r="A145" s="12"/>
      <c r="B145" s="12"/>
      <c r="C145" s="12"/>
      <c r="D145"/>
      <c r="E145" s="21"/>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35">
      <c r="A146" s="12"/>
      <c r="B146" s="12"/>
      <c r="C146" s="12"/>
      <c r="D146"/>
      <c r="E146" s="22"/>
      <c r="F146" s="22"/>
      <c r="G146" s="22"/>
      <c r="H146" s="22"/>
      <c r="I146" s="22"/>
      <c r="J146" s="22"/>
      <c r="K146" s="22"/>
      <c r="L146" s="22"/>
      <c r="M146" s="22"/>
      <c r="N146" s="22"/>
      <c r="O146" s="22"/>
      <c r="P146" s="22"/>
      <c r="Q146" s="22"/>
      <c r="R146" s="28"/>
      <c r="S146" s="22"/>
      <c r="T146" s="22"/>
      <c r="U146"/>
      <c r="V146"/>
      <c r="W146"/>
      <c r="X146"/>
      <c r="Y146"/>
      <c r="Z146" s="12"/>
      <c r="AA146" s="12"/>
      <c r="AB146" s="12"/>
      <c r="AC146" s="12"/>
      <c r="AD146" s="12"/>
      <c r="AE146" s="12"/>
      <c r="AF146" s="12"/>
      <c r="AG146" s="12"/>
      <c r="AH146" s="12"/>
      <c r="AI146" s="12"/>
    </row>
    <row r="147" spans="1:35" s="10" customFormat="1" x14ac:dyDescent="0.35">
      <c r="A147" s="12"/>
      <c r="B147" s="12"/>
      <c r="C147" s="12"/>
      <c r="D147"/>
      <c r="E147" s="21"/>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3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3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3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3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3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3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3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3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3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3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3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3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3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3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3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3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3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35">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35">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35">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35">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35">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35">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35">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35">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35">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35">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35">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35">
      <c r="A176" s="12"/>
      <c r="B176" s="12"/>
      <c r="C176" s="12"/>
      <c r="D176"/>
      <c r="E176" s="24"/>
      <c r="F176" s="23"/>
      <c r="G176" s="23"/>
      <c r="H176" s="26"/>
      <c r="I176" s="22"/>
      <c r="J176" s="22"/>
      <c r="K176" s="22"/>
      <c r="L176" s="22"/>
      <c r="M176" s="21"/>
      <c r="N176" s="22"/>
      <c r="O176" s="22"/>
      <c r="P176" s="22"/>
      <c r="Q176" s="23"/>
      <c r="R176" s="23"/>
      <c r="S176" s="22"/>
      <c r="T176" s="21"/>
      <c r="U176"/>
      <c r="V176"/>
      <c r="W176"/>
      <c r="X176"/>
      <c r="Y176" s="12"/>
      <c r="Z176" s="12"/>
      <c r="AA176" s="12"/>
      <c r="AB176" s="12"/>
      <c r="AC176" s="12"/>
      <c r="AD176" s="12"/>
      <c r="AE176" s="12"/>
      <c r="AF176" s="12"/>
      <c r="AG176" s="12"/>
      <c r="AH176" s="12"/>
      <c r="AI176" s="12"/>
    </row>
    <row r="177" spans="1:35" s="10" customFormat="1" x14ac:dyDescent="0.35">
      <c r="A177" s="12"/>
      <c r="B177" s="12"/>
      <c r="C177" s="12"/>
      <c r="D177"/>
      <c r="E177" s="24"/>
      <c r="F177" s="23"/>
      <c r="G177" s="23"/>
      <c r="H177" s="26"/>
      <c r="I177" s="22"/>
      <c r="J177" s="22"/>
      <c r="K177" s="22"/>
      <c r="L177" s="22"/>
      <c r="M177" s="21"/>
      <c r="N177" s="22"/>
      <c r="O177" s="22"/>
      <c r="P177" s="22"/>
      <c r="Q177" s="23"/>
      <c r="R177" s="23"/>
      <c r="S177" s="22"/>
      <c r="T177" s="21"/>
      <c r="U177"/>
      <c r="V177"/>
      <c r="W177"/>
      <c r="X177"/>
      <c r="Y177" s="12"/>
      <c r="Z177" s="12"/>
      <c r="AA177" s="12"/>
      <c r="AB177" s="12"/>
      <c r="AC177" s="12"/>
      <c r="AD177" s="12"/>
      <c r="AE177" s="12"/>
      <c r="AF177" s="12"/>
      <c r="AG177" s="12"/>
      <c r="AH177" s="12"/>
      <c r="AI177" s="12"/>
    </row>
    <row r="178" spans="1:35" s="10" customFormat="1" x14ac:dyDescent="0.35">
      <c r="A178" s="12"/>
      <c r="B178" s="12"/>
      <c r="C178" s="12"/>
      <c r="D178"/>
      <c r="E178" s="24"/>
      <c r="F178" s="23"/>
      <c r="G178" s="23"/>
      <c r="H178" s="26"/>
      <c r="I178" s="22"/>
      <c r="J178" s="22"/>
      <c r="K178" s="22"/>
      <c r="L178" s="22"/>
      <c r="M178" s="21"/>
      <c r="N178" s="22"/>
      <c r="O178" s="22"/>
      <c r="P178" s="22"/>
      <c r="Q178" s="23"/>
      <c r="R178" s="23"/>
      <c r="S178" s="22"/>
      <c r="T178" s="21"/>
      <c r="U178"/>
      <c r="V178"/>
      <c r="W178"/>
      <c r="X178"/>
      <c r="Y178" s="12"/>
      <c r="Z178" s="12"/>
      <c r="AA178" s="12"/>
      <c r="AB178" s="12"/>
      <c r="AC178" s="12"/>
      <c r="AD178" s="12"/>
      <c r="AE178" s="12"/>
      <c r="AF178" s="12"/>
      <c r="AG178" s="12"/>
      <c r="AH178" s="12"/>
      <c r="AI178" s="12"/>
    </row>
    <row r="179" spans="1:35" s="10" customFormat="1" x14ac:dyDescent="0.35">
      <c r="A179" s="12"/>
      <c r="B179" s="12"/>
      <c r="C179" s="12"/>
      <c r="D179"/>
      <c r="E179" s="24"/>
      <c r="F179" s="23"/>
      <c r="G179" s="23"/>
      <c r="H179" s="26"/>
      <c r="I179" s="22"/>
      <c r="J179" s="22"/>
      <c r="K179" s="22"/>
      <c r="L179" s="22"/>
      <c r="M179" s="21"/>
      <c r="N179" s="22"/>
      <c r="O179" s="22"/>
      <c r="P179" s="22"/>
      <c r="Q179" s="23"/>
      <c r="R179" s="23"/>
      <c r="S179" s="22"/>
      <c r="T179" s="21"/>
      <c r="U179"/>
      <c r="V179"/>
      <c r="W179"/>
      <c r="X179"/>
      <c r="Y179" s="12"/>
      <c r="Z179" s="12"/>
      <c r="AA179" s="12"/>
      <c r="AB179" s="12"/>
      <c r="AC179" s="12"/>
      <c r="AD179" s="12"/>
      <c r="AE179" s="12"/>
      <c r="AF179" s="12"/>
      <c r="AG179" s="12"/>
      <c r="AH179" s="12"/>
      <c r="AI179" s="12"/>
    </row>
    <row r="180" spans="1:35" s="10" customFormat="1" x14ac:dyDescent="0.35">
      <c r="A180" s="12"/>
      <c r="B180" s="12"/>
      <c r="C180" s="12"/>
      <c r="D180"/>
      <c r="E180" s="24"/>
      <c r="F180" s="23"/>
      <c r="G180" s="22"/>
      <c r="H180" s="25"/>
      <c r="I180" s="22"/>
      <c r="J180" s="22"/>
      <c r="K180" s="22"/>
      <c r="L180" s="22"/>
      <c r="M180" s="24"/>
      <c r="N180" s="22"/>
      <c r="O180" s="22"/>
      <c r="P180" s="22"/>
      <c r="Q180" s="22"/>
      <c r="R180" s="22"/>
      <c r="S180" s="22"/>
      <c r="T180" s="19"/>
      <c r="U180"/>
      <c r="V180"/>
      <c r="W180"/>
      <c r="X180"/>
      <c r="Y180" s="12"/>
      <c r="Z180" s="12"/>
      <c r="AA180" s="12"/>
      <c r="AB180" s="12"/>
      <c r="AC180" s="12"/>
      <c r="AD180" s="12"/>
      <c r="AE180" s="12"/>
      <c r="AF180" s="12"/>
      <c r="AG180" s="12"/>
      <c r="AH180" s="12"/>
      <c r="AI180" s="12"/>
    </row>
    <row r="181" spans="1:35" s="10" customFormat="1" x14ac:dyDescent="0.35">
      <c r="A181" s="12"/>
      <c r="B181" s="12"/>
      <c r="C181" s="12"/>
      <c r="D181"/>
      <c r="E181"/>
      <c r="F181"/>
      <c r="G181"/>
      <c r="H181"/>
      <c r="I181"/>
      <c r="J181"/>
      <c r="K181"/>
      <c r="L181"/>
      <c r="M181"/>
      <c r="N181"/>
      <c r="O181"/>
      <c r="P181"/>
      <c r="Q181"/>
      <c r="R181"/>
      <c r="S181"/>
      <c r="T181"/>
      <c r="U181"/>
      <c r="V181"/>
      <c r="W181"/>
      <c r="X181"/>
      <c r="Y181" s="12"/>
      <c r="Z181" s="12"/>
      <c r="AA181" s="12"/>
      <c r="AB181" s="12"/>
      <c r="AC181" s="12"/>
      <c r="AD181" s="12"/>
      <c r="AE181" s="12"/>
      <c r="AF181" s="12"/>
      <c r="AG181" s="12"/>
      <c r="AH181" s="12"/>
      <c r="AI181" s="12"/>
    </row>
    <row r="182" spans="1:35" s="10" customFormat="1" x14ac:dyDescent="0.35">
      <c r="A182" s="12"/>
      <c r="B182" s="12"/>
      <c r="C182" s="12"/>
      <c r="D182"/>
      <c r="E182"/>
      <c r="F182"/>
      <c r="G182"/>
      <c r="H182"/>
      <c r="I182"/>
      <c r="J182"/>
      <c r="K182"/>
      <c r="L182"/>
      <c r="M182"/>
      <c r="N182"/>
      <c r="O182"/>
      <c r="P182"/>
      <c r="Q182"/>
      <c r="R182"/>
      <c r="S182"/>
      <c r="T182"/>
      <c r="U182"/>
      <c r="V182"/>
      <c r="W182"/>
      <c r="X182"/>
      <c r="Y182" s="12"/>
      <c r="Z182" s="12"/>
      <c r="AA182" s="12"/>
      <c r="AB182" s="12"/>
      <c r="AC182" s="12"/>
      <c r="AD182" s="12"/>
      <c r="AE182" s="12"/>
      <c r="AF182" s="12"/>
      <c r="AG182" s="12"/>
      <c r="AH182" s="12"/>
      <c r="AI182" s="12"/>
    </row>
    <row r="183" spans="1:35" s="10" customFormat="1" x14ac:dyDescent="0.35">
      <c r="A183" s="12"/>
      <c r="B183" s="12"/>
      <c r="C183" s="12"/>
      <c r="D183"/>
      <c r="E183"/>
      <c r="F183"/>
      <c r="G183"/>
      <c r="H183"/>
      <c r="I183"/>
      <c r="J183"/>
      <c r="K183"/>
      <c r="L183"/>
      <c r="M183"/>
      <c r="N183"/>
      <c r="O183"/>
      <c r="P183"/>
      <c r="Q183"/>
      <c r="R183"/>
      <c r="S183"/>
      <c r="T183"/>
      <c r="U183"/>
      <c r="V183"/>
      <c r="W183"/>
      <c r="X183"/>
      <c r="Y183" s="12"/>
      <c r="Z183" s="12"/>
      <c r="AA183" s="12"/>
      <c r="AB183" s="12"/>
      <c r="AC183" s="12"/>
      <c r="AD183" s="12"/>
      <c r="AE183" s="12"/>
      <c r="AF183" s="12"/>
      <c r="AG183" s="12"/>
      <c r="AH183" s="12"/>
      <c r="AI183" s="12"/>
    </row>
    <row r="184" spans="1:35" s="10" customFormat="1" x14ac:dyDescent="0.35">
      <c r="A184" s="12"/>
      <c r="B184" s="12"/>
      <c r="C184" s="12"/>
      <c r="D184"/>
      <c r="E184"/>
      <c r="F184"/>
      <c r="G184"/>
      <c r="H184"/>
      <c r="I184"/>
      <c r="J184"/>
      <c r="K184"/>
      <c r="L184"/>
      <c r="M184"/>
      <c r="N184"/>
      <c r="O184"/>
      <c r="P184"/>
      <c r="Q184"/>
      <c r="R184"/>
      <c r="S184"/>
      <c r="T184"/>
      <c r="U184"/>
      <c r="V184"/>
      <c r="W184"/>
      <c r="X184"/>
      <c r="Y184" s="12"/>
      <c r="Z184" s="12"/>
      <c r="AA184" s="12"/>
      <c r="AB184" s="12"/>
      <c r="AC184" s="12"/>
      <c r="AD184" s="12"/>
      <c r="AE184" s="12"/>
      <c r="AF184" s="12"/>
      <c r="AG184" s="12"/>
      <c r="AH184" s="12"/>
      <c r="AI184" s="12"/>
    </row>
    <row r="185" spans="1:35" s="10" customFormat="1" x14ac:dyDescent="0.35">
      <c r="A185" s="12"/>
      <c r="B185" s="12"/>
      <c r="C185" s="12"/>
      <c r="D185"/>
      <c r="E185"/>
      <c r="F185"/>
      <c r="G185"/>
      <c r="H185"/>
      <c r="I185"/>
      <c r="J185"/>
      <c r="K185"/>
      <c r="L185"/>
      <c r="M185"/>
      <c r="N185"/>
      <c r="O185"/>
      <c r="P185"/>
      <c r="Q185"/>
      <c r="R185"/>
      <c r="S185"/>
      <c r="T185"/>
      <c r="U185"/>
      <c r="V185"/>
      <c r="W185"/>
      <c r="X185"/>
      <c r="Y185" s="12"/>
      <c r="Z185" s="12"/>
      <c r="AA185" s="12"/>
      <c r="AB185" s="12"/>
      <c r="AC185" s="12"/>
      <c r="AD185" s="12"/>
      <c r="AE185" s="12"/>
      <c r="AF185" s="12"/>
      <c r="AG185" s="12"/>
      <c r="AH185" s="12"/>
      <c r="AI185" s="12"/>
    </row>
    <row r="186" spans="1:35" s="10" customFormat="1" x14ac:dyDescent="0.35">
      <c r="A186" s="12"/>
      <c r="B186" s="12"/>
      <c r="C186" s="12"/>
      <c r="D186"/>
      <c r="E186"/>
      <c r="F186"/>
      <c r="G186"/>
      <c r="H186"/>
      <c r="I186"/>
      <c r="J186"/>
      <c r="K186"/>
      <c r="L186"/>
      <c r="M186"/>
      <c r="N186"/>
      <c r="O186"/>
      <c r="P186"/>
      <c r="Q186"/>
      <c r="R186"/>
      <c r="S186"/>
      <c r="T186"/>
      <c r="U186"/>
      <c r="V186"/>
      <c r="W186"/>
      <c r="X186"/>
      <c r="Y186" s="12"/>
      <c r="Z186" s="12"/>
      <c r="AA186" s="12"/>
      <c r="AB186" s="12"/>
      <c r="AC186" s="12"/>
      <c r="AD186" s="12"/>
      <c r="AE186" s="12"/>
      <c r="AF186" s="12"/>
      <c r="AG186" s="12"/>
      <c r="AH186" s="12"/>
      <c r="AI186" s="12"/>
    </row>
    <row r="187" spans="1:35" s="10" customFormat="1" x14ac:dyDescent="0.35">
      <c r="A187" s="12"/>
      <c r="B187" s="12"/>
      <c r="C187" s="12"/>
      <c r="D187"/>
      <c r="E187"/>
      <c r="F187"/>
      <c r="G187"/>
      <c r="H187"/>
      <c r="I187"/>
      <c r="J187"/>
      <c r="K187"/>
      <c r="L187"/>
      <c r="M187"/>
      <c r="N187"/>
      <c r="O187"/>
      <c r="P187"/>
      <c r="Q187"/>
      <c r="R187"/>
      <c r="S187"/>
      <c r="T187"/>
      <c r="U187"/>
      <c r="V187"/>
      <c r="W187"/>
      <c r="X187"/>
      <c r="Y187" s="12"/>
      <c r="Z187" s="12"/>
      <c r="AA187" s="12"/>
      <c r="AB187" s="12"/>
      <c r="AC187" s="12"/>
      <c r="AD187" s="12"/>
      <c r="AE187" s="12"/>
      <c r="AF187" s="12"/>
      <c r="AG187" s="12"/>
      <c r="AH187" s="12"/>
      <c r="AI187" s="12"/>
    </row>
    <row r="188" spans="1:35" s="10" customFormat="1" x14ac:dyDescent="0.35">
      <c r="A188" s="12"/>
      <c r="B188" s="12"/>
      <c r="C188" s="12"/>
      <c r="D188"/>
      <c r="E188"/>
      <c r="F188"/>
      <c r="G188"/>
      <c r="H188"/>
      <c r="I188"/>
      <c r="J188"/>
      <c r="K188"/>
      <c r="L188"/>
      <c r="M188"/>
      <c r="N188"/>
      <c r="O188"/>
      <c r="P188"/>
      <c r="Q188"/>
      <c r="R188"/>
      <c r="S188"/>
      <c r="T188"/>
      <c r="U188"/>
      <c r="V188"/>
      <c r="W188"/>
      <c r="X188"/>
      <c r="Y188" s="12"/>
      <c r="Z188" s="12"/>
      <c r="AA188" s="12"/>
      <c r="AB188" s="12"/>
      <c r="AC188" s="12"/>
      <c r="AD188" s="12"/>
      <c r="AE188" s="12"/>
      <c r="AF188" s="12"/>
      <c r="AG188" s="12"/>
      <c r="AH188" s="12"/>
      <c r="AI188" s="12"/>
    </row>
    <row r="189" spans="1:35" s="10" customFormat="1" x14ac:dyDescent="0.35">
      <c r="A189" s="12"/>
      <c r="B189" s="12"/>
      <c r="C189" s="12"/>
      <c r="D189"/>
      <c r="E189"/>
      <c r="F189"/>
      <c r="G189"/>
      <c r="H189"/>
      <c r="I189"/>
      <c r="J189"/>
      <c r="K189"/>
      <c r="L189"/>
      <c r="M189"/>
      <c r="N189"/>
      <c r="O189"/>
      <c r="P189"/>
      <c r="Q189"/>
      <c r="R189"/>
      <c r="S189"/>
      <c r="T189"/>
      <c r="U189"/>
      <c r="V189"/>
      <c r="W189"/>
      <c r="X189"/>
      <c r="Y189" s="12"/>
      <c r="Z189" s="12"/>
      <c r="AA189" s="12"/>
      <c r="AB189" s="12"/>
      <c r="AC189" s="12"/>
      <c r="AD189" s="12"/>
      <c r="AE189" s="12"/>
      <c r="AF189" s="12"/>
      <c r="AG189" s="12"/>
      <c r="AH189" s="12"/>
      <c r="AI189" s="12"/>
    </row>
    <row r="190" spans="1:35" s="10" customFormat="1" x14ac:dyDescent="0.35">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35">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35">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35">
      <c r="A193" s="12"/>
      <c r="B193" s="12"/>
      <c r="C193" s="12"/>
      <c r="D193"/>
      <c r="E193" s="24"/>
      <c r="F193" s="23"/>
      <c r="G193" s="22"/>
      <c r="H193" s="22"/>
      <c r="I193" s="22"/>
      <c r="J193" s="22"/>
      <c r="K193" s="22"/>
      <c r="L193" s="22"/>
      <c r="M193" s="21"/>
      <c r="N193" s="22"/>
      <c r="O193" s="22"/>
      <c r="P193" s="22"/>
      <c r="Q193" s="22"/>
      <c r="R193" s="22"/>
      <c r="S193" s="22"/>
      <c r="T193" s="19"/>
      <c r="U193"/>
      <c r="V193"/>
      <c r="W193"/>
      <c r="X193"/>
      <c r="Y193"/>
      <c r="Z193" s="12"/>
      <c r="AA193" s="12"/>
      <c r="AB193" s="12"/>
      <c r="AC193" s="12"/>
      <c r="AD193" s="12"/>
      <c r="AE193" s="12"/>
      <c r="AF193" s="12"/>
      <c r="AG193" s="12"/>
      <c r="AH193" s="12"/>
      <c r="AI193" s="12"/>
    </row>
    <row r="194" spans="1:35" s="10" customFormat="1" x14ac:dyDescent="0.35">
      <c r="A194" s="12"/>
      <c r="B194" s="12"/>
      <c r="C194" s="12"/>
      <c r="D194"/>
      <c r="E194" s="24"/>
      <c r="F194" s="23"/>
      <c r="G194" s="23"/>
      <c r="H194" s="26"/>
      <c r="I194" s="22"/>
      <c r="J194" s="22"/>
      <c r="K194" s="22"/>
      <c r="L194" s="22"/>
      <c r="M194" s="24"/>
      <c r="N194" s="22"/>
      <c r="O194" s="22"/>
      <c r="P194" s="22"/>
      <c r="Q194" s="22"/>
      <c r="R194" s="28"/>
      <c r="S194" s="22"/>
      <c r="T194" s="24"/>
      <c r="U194"/>
      <c r="V194"/>
      <c r="W194"/>
      <c r="X194"/>
      <c r="Y194"/>
      <c r="Z194" s="12"/>
      <c r="AA194" s="12"/>
      <c r="AB194" s="12"/>
      <c r="AC194" s="12"/>
      <c r="AD194" s="12"/>
      <c r="AE194" s="12"/>
      <c r="AF194" s="12"/>
      <c r="AG194" s="12"/>
      <c r="AH194" s="12"/>
      <c r="AI194" s="12"/>
    </row>
    <row r="195" spans="1:35" s="10" customFormat="1" x14ac:dyDescent="0.35">
      <c r="A195" s="12"/>
      <c r="B195" s="12"/>
      <c r="C195" s="12"/>
      <c r="D195"/>
      <c r="E195" s="19"/>
      <c r="F195" s="23"/>
      <c r="G195" s="22"/>
      <c r="H195" s="22"/>
      <c r="I195" s="22"/>
      <c r="J195" s="22"/>
      <c r="K195" s="22"/>
      <c r="L195" s="23"/>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35">
      <c r="A196" s="12"/>
      <c r="B196" s="12"/>
      <c r="C196" s="12"/>
      <c r="D196"/>
      <c r="E196" s="19"/>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35">
      <c r="A197" s="12"/>
      <c r="B197" s="12"/>
      <c r="C197" s="12"/>
      <c r="D197"/>
      <c r="E197" s="19"/>
      <c r="F197" s="23"/>
      <c r="G197" s="22"/>
      <c r="H197" s="25"/>
      <c r="I197" s="22"/>
      <c r="J197" s="22"/>
      <c r="K197" s="22"/>
      <c r="L197" s="23"/>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35">
      <c r="A198" s="12"/>
      <c r="B198" s="12"/>
      <c r="C198" s="12"/>
      <c r="D198"/>
      <c r="E198" s="19"/>
      <c r="F198" s="23"/>
      <c r="G198" s="22"/>
      <c r="H198" s="22"/>
      <c r="I198" s="22"/>
      <c r="J198" s="22"/>
      <c r="K198" s="22"/>
      <c r="L198" s="23"/>
      <c r="M198" s="24"/>
      <c r="N198" s="22"/>
      <c r="O198" s="22"/>
      <c r="P198" s="22"/>
      <c r="Q198" s="22"/>
      <c r="R198" s="28"/>
      <c r="S198" s="22"/>
      <c r="T198" s="24"/>
      <c r="U198"/>
      <c r="V198"/>
      <c r="W198"/>
      <c r="X198"/>
      <c r="Y198"/>
      <c r="Z198" s="12"/>
      <c r="AA198" s="12"/>
      <c r="AB198" s="12"/>
      <c r="AC198" s="12"/>
      <c r="AD198" s="12"/>
      <c r="AE198" s="12"/>
      <c r="AF198" s="12"/>
      <c r="AG198" s="12"/>
      <c r="AH198" s="12"/>
      <c r="AI198" s="12"/>
    </row>
    <row r="199" spans="1:35" s="10" customFormat="1" x14ac:dyDescent="0.35">
      <c r="A199" s="12"/>
      <c r="B199" s="12"/>
      <c r="C199" s="12"/>
      <c r="D199"/>
      <c r="E199" s="19"/>
      <c r="F199" s="23"/>
      <c r="G199" s="22"/>
      <c r="H199" s="22"/>
      <c r="I199" s="22"/>
      <c r="J199" s="22"/>
      <c r="K199" s="22"/>
      <c r="L199" s="23"/>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35">
      <c r="A200" s="12"/>
      <c r="B200" s="12"/>
      <c r="C200" s="12"/>
      <c r="D200"/>
      <c r="E200" s="22"/>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35">
      <c r="A201" s="12"/>
      <c r="B201" s="12"/>
      <c r="C201" s="12"/>
      <c r="D201"/>
      <c r="E201" s="22"/>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35">
      <c r="A202" s="12"/>
      <c r="B202" s="12"/>
      <c r="C202" s="12"/>
      <c r="D202"/>
      <c r="E202" s="22"/>
      <c r="F202" s="23"/>
      <c r="G202" s="22"/>
      <c r="H202" s="22"/>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35">
      <c r="A203" s="12"/>
      <c r="B203" s="12"/>
      <c r="C203" s="12"/>
      <c r="D203"/>
      <c r="E203" s="24"/>
      <c r="F203" s="23"/>
      <c r="G203" s="23"/>
      <c r="H203" s="23"/>
      <c r="I203" s="22"/>
      <c r="J203" s="22"/>
      <c r="K203" s="22"/>
      <c r="L203" s="22"/>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35">
      <c r="A204" s="12"/>
      <c r="B204" s="12"/>
      <c r="C204" s="12"/>
      <c r="D204"/>
      <c r="E204" s="24"/>
      <c r="F204" s="23"/>
      <c r="G204" s="23"/>
      <c r="H204" s="23"/>
      <c r="I204" s="22"/>
      <c r="J204" s="22"/>
      <c r="K204" s="22"/>
      <c r="L204" s="22"/>
      <c r="M204" s="24"/>
      <c r="N204" s="22"/>
      <c r="O204" s="22"/>
      <c r="P204" s="22"/>
      <c r="Q204" s="23"/>
      <c r="R204" s="23"/>
      <c r="S204" s="22"/>
      <c r="T204" s="24"/>
      <c r="U204"/>
      <c r="V204"/>
      <c r="W204"/>
      <c r="X204"/>
      <c r="Y204"/>
      <c r="Z204" s="12"/>
      <c r="AA204" s="12"/>
      <c r="AB204" s="12"/>
      <c r="AC204" s="12"/>
      <c r="AD204" s="12"/>
      <c r="AE204" s="12"/>
      <c r="AF204" s="12"/>
      <c r="AG204" s="12"/>
      <c r="AH204" s="12"/>
      <c r="AI204" s="12"/>
    </row>
    <row r="205" spans="1:35" s="10" customFormat="1" x14ac:dyDescent="0.35">
      <c r="A205" s="12"/>
      <c r="B205" s="12"/>
      <c r="C205" s="12"/>
      <c r="D205"/>
      <c r="E205" s="24"/>
      <c r="F205" s="23"/>
      <c r="G205" s="23"/>
      <c r="H205" s="23"/>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35">
      <c r="A206" s="12"/>
      <c r="B206" s="12"/>
      <c r="C206" s="12"/>
      <c r="D206"/>
      <c r="E206" s="24"/>
      <c r="F206" s="23"/>
      <c r="G206" s="23"/>
      <c r="H206" s="26"/>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35">
      <c r="A207" s="12"/>
      <c r="B207" s="12"/>
      <c r="C207" s="12"/>
      <c r="D207"/>
      <c r="E207" s="24"/>
      <c r="F207" s="23"/>
      <c r="G207" s="23"/>
      <c r="H207" s="26"/>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35">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35">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35">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3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3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35">
      <c r="A213" s="12"/>
      <c r="B213" s="12"/>
      <c r="C213" s="12"/>
      <c r="D213"/>
      <c r="E213" s="24"/>
      <c r="F213" s="23"/>
      <c r="G213" s="23"/>
      <c r="H213" s="26"/>
      <c r="I213" s="22"/>
      <c r="J213" s="22"/>
      <c r="K213" s="22"/>
      <c r="L213" s="22"/>
      <c r="M213" s="21"/>
      <c r="N213" s="22"/>
      <c r="O213" s="22"/>
      <c r="P213" s="22"/>
      <c r="Q213" s="22"/>
      <c r="R213" s="28"/>
      <c r="S213" s="22"/>
      <c r="T213" s="20"/>
      <c r="U213"/>
      <c r="V213"/>
      <c r="W213"/>
      <c r="X213"/>
      <c r="Y213"/>
      <c r="Z213" s="12"/>
      <c r="AA213" s="12"/>
      <c r="AB213" s="12"/>
      <c r="AC213" s="12"/>
      <c r="AD213" s="12"/>
      <c r="AE213" s="12"/>
      <c r="AF213" s="12"/>
      <c r="AG213" s="12"/>
      <c r="AH213" s="12"/>
      <c r="AI213" s="12"/>
    </row>
    <row r="214" spans="1:35" s="10" customFormat="1" x14ac:dyDescent="0.35">
      <c r="A214" s="12"/>
      <c r="B214" s="12"/>
      <c r="C214" s="12"/>
      <c r="D214"/>
      <c r="E214" s="24"/>
      <c r="F214" s="23"/>
      <c r="G214" s="22"/>
      <c r="H214" s="22"/>
      <c r="I214" s="22"/>
      <c r="J214" s="22"/>
      <c r="K214" s="22"/>
      <c r="L214" s="22"/>
      <c r="M214" s="21"/>
      <c r="N214" s="22"/>
      <c r="O214" s="22"/>
      <c r="P214" s="22"/>
      <c r="Q214" s="22"/>
      <c r="R214" s="22"/>
      <c r="S214" s="22"/>
      <c r="T214" s="19"/>
      <c r="U214"/>
      <c r="V214"/>
      <c r="W214"/>
      <c r="X214"/>
      <c r="Y214"/>
      <c r="Z214" s="12"/>
      <c r="AA214" s="12"/>
      <c r="AB214" s="12"/>
      <c r="AC214" s="12"/>
      <c r="AD214" s="12"/>
      <c r="AE214" s="12"/>
      <c r="AF214" s="12"/>
      <c r="AG214" s="12"/>
      <c r="AH214" s="12"/>
      <c r="AI214" s="12"/>
    </row>
    <row r="215" spans="1:35" s="10" customFormat="1" x14ac:dyDescent="0.35">
      <c r="A215" s="12"/>
      <c r="B215" s="12"/>
      <c r="C215" s="12"/>
      <c r="D215"/>
      <c r="E215" s="24"/>
      <c r="F215" s="23"/>
      <c r="G215" s="23"/>
      <c r="H215" s="26"/>
      <c r="I215" s="22"/>
      <c r="J215" s="22"/>
      <c r="K215" s="22"/>
      <c r="L215" s="22"/>
      <c r="M215" s="24"/>
      <c r="N215" s="22"/>
      <c r="O215" s="22"/>
      <c r="P215" s="22"/>
      <c r="Q215" s="22"/>
      <c r="R215" s="28"/>
      <c r="S215" s="22"/>
      <c r="T215" s="24"/>
      <c r="U215"/>
      <c r="V215"/>
      <c r="W215"/>
      <c r="X215"/>
      <c r="Y215"/>
      <c r="Z215" s="12"/>
      <c r="AA215" s="12"/>
      <c r="AB215" s="12"/>
      <c r="AC215" s="12"/>
      <c r="AD215" s="12"/>
      <c r="AE215" s="12"/>
      <c r="AF215" s="12"/>
      <c r="AG215" s="12"/>
      <c r="AH215" s="12"/>
      <c r="AI215" s="12"/>
    </row>
    <row r="216" spans="1:35" s="10" customFormat="1" x14ac:dyDescent="0.35">
      <c r="A216" s="12"/>
      <c r="B216" s="12"/>
      <c r="C216" s="12"/>
      <c r="D216"/>
      <c r="E216" s="19"/>
      <c r="F216" s="23"/>
      <c r="G216" s="22"/>
      <c r="H216" s="22"/>
      <c r="I216" s="22"/>
      <c r="J216" s="22"/>
      <c r="K216" s="22"/>
      <c r="L216" s="23"/>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35">
      <c r="A217" s="12"/>
      <c r="B217" s="12"/>
      <c r="C217" s="12"/>
      <c r="D217"/>
      <c r="E217" s="19"/>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35">
      <c r="A218" s="12"/>
      <c r="B218" s="12"/>
      <c r="C218" s="12"/>
      <c r="D218"/>
      <c r="E218" s="19"/>
      <c r="F218" s="23"/>
      <c r="G218" s="22"/>
      <c r="H218" s="25"/>
      <c r="I218" s="22"/>
      <c r="J218" s="22"/>
      <c r="K218" s="22"/>
      <c r="L218" s="23"/>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35">
      <c r="A219" s="12"/>
      <c r="B219" s="12"/>
      <c r="C219" s="12"/>
      <c r="D219"/>
      <c r="E219" s="19"/>
      <c r="F219" s="23"/>
      <c r="G219" s="22"/>
      <c r="H219" s="22"/>
      <c r="I219" s="22"/>
      <c r="J219" s="22"/>
      <c r="K219" s="22"/>
      <c r="L219" s="23"/>
      <c r="M219" s="24"/>
      <c r="N219" s="22"/>
      <c r="O219" s="22"/>
      <c r="P219" s="22"/>
      <c r="Q219" s="22"/>
      <c r="R219" s="28"/>
      <c r="S219" s="22"/>
      <c r="T219" s="24"/>
      <c r="U219"/>
      <c r="V219"/>
      <c r="W219"/>
      <c r="X219"/>
      <c r="Y219"/>
      <c r="Z219" s="12"/>
      <c r="AA219" s="12"/>
      <c r="AB219" s="12"/>
      <c r="AC219" s="12"/>
      <c r="AD219" s="12"/>
      <c r="AE219" s="12"/>
      <c r="AF219" s="12"/>
      <c r="AG219" s="12"/>
      <c r="AH219" s="12"/>
      <c r="AI219" s="12"/>
    </row>
    <row r="220" spans="1:35" s="10" customFormat="1" x14ac:dyDescent="0.35">
      <c r="A220" s="12"/>
      <c r="B220" s="12"/>
      <c r="C220" s="12"/>
      <c r="D220"/>
      <c r="E220" s="19"/>
      <c r="F220" s="23"/>
      <c r="G220" s="22"/>
      <c r="H220" s="22"/>
      <c r="I220" s="22"/>
      <c r="J220" s="22"/>
      <c r="K220" s="22"/>
      <c r="L220" s="23"/>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35">
      <c r="A221" s="12"/>
      <c r="B221" s="12"/>
      <c r="C221" s="12"/>
      <c r="D221"/>
      <c r="E221" s="22"/>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35">
      <c r="A222" s="12"/>
      <c r="B222" s="12"/>
      <c r="C222" s="12"/>
      <c r="D222"/>
      <c r="E222" s="22"/>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35">
      <c r="A223" s="12"/>
      <c r="B223" s="12"/>
      <c r="C223" s="12"/>
      <c r="D223"/>
      <c r="E223" s="22"/>
      <c r="F223" s="23"/>
      <c r="G223" s="22"/>
      <c r="H223" s="22"/>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35">
      <c r="A224" s="12"/>
      <c r="B224" s="12"/>
      <c r="C224" s="12"/>
      <c r="D224"/>
      <c r="E224" s="24"/>
      <c r="F224" s="23"/>
      <c r="G224" s="23"/>
      <c r="H224" s="23"/>
      <c r="I224" s="22"/>
      <c r="J224" s="22"/>
      <c r="K224" s="22"/>
      <c r="L224" s="22"/>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35">
      <c r="A225" s="12"/>
      <c r="B225" s="12"/>
      <c r="C225" s="12"/>
      <c r="D225"/>
      <c r="E225" s="24"/>
      <c r="F225" s="23"/>
      <c r="G225" s="23"/>
      <c r="H225" s="23"/>
      <c r="I225" s="22"/>
      <c r="J225" s="22"/>
      <c r="K225" s="22"/>
      <c r="L225" s="22"/>
      <c r="M225" s="24"/>
      <c r="N225" s="22"/>
      <c r="O225" s="22"/>
      <c r="P225" s="22"/>
      <c r="Q225" s="23"/>
      <c r="R225" s="23"/>
      <c r="S225" s="22"/>
      <c r="T225" s="24"/>
      <c r="U225"/>
      <c r="V225"/>
      <c r="W225"/>
      <c r="X225"/>
      <c r="Y225"/>
      <c r="Z225" s="12"/>
      <c r="AA225" s="12"/>
      <c r="AB225" s="12"/>
      <c r="AC225" s="12"/>
      <c r="AD225" s="12"/>
      <c r="AE225" s="12"/>
      <c r="AF225" s="12"/>
      <c r="AG225" s="12"/>
      <c r="AH225" s="12"/>
      <c r="AI225" s="12"/>
    </row>
    <row r="226" spans="1:35" s="10" customFormat="1" x14ac:dyDescent="0.35">
      <c r="A226" s="12"/>
      <c r="B226" s="12"/>
      <c r="C226" s="12"/>
      <c r="D226"/>
      <c r="E226" s="24"/>
      <c r="F226" s="23"/>
      <c r="G226" s="23"/>
      <c r="H226" s="23"/>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35">
      <c r="A227" s="12"/>
      <c r="B227" s="12"/>
      <c r="C227" s="12"/>
      <c r="D227"/>
      <c r="E227" s="24"/>
      <c r="F227" s="23"/>
      <c r="G227" s="23"/>
      <c r="H227" s="26"/>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35">
      <c r="A228" s="12"/>
      <c r="B228" s="12"/>
      <c r="C228" s="12"/>
      <c r="D228"/>
      <c r="E228" s="24"/>
      <c r="F228" s="23"/>
      <c r="G228" s="23"/>
      <c r="H228" s="26"/>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35">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35">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35">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3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3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35">
      <c r="A234" s="12"/>
      <c r="B234" s="12"/>
      <c r="C234" s="12"/>
      <c r="D234"/>
      <c r="E234" s="24"/>
      <c r="F234" s="23"/>
      <c r="G234" s="23"/>
      <c r="H234" s="26"/>
      <c r="I234" s="22"/>
      <c r="J234" s="22"/>
      <c r="K234" s="22"/>
      <c r="L234" s="22"/>
      <c r="M234" s="21"/>
      <c r="N234" s="22"/>
      <c r="O234" s="22"/>
      <c r="P234" s="22"/>
      <c r="Q234" s="22"/>
      <c r="R234" s="28"/>
      <c r="S234" s="22"/>
      <c r="T234" s="20"/>
      <c r="U234"/>
      <c r="V234"/>
      <c r="W234"/>
      <c r="X234"/>
      <c r="Y234"/>
      <c r="Z234" s="12"/>
      <c r="AA234" s="12"/>
      <c r="AB234" s="12"/>
      <c r="AC234" s="12"/>
      <c r="AD234" s="12"/>
      <c r="AE234" s="12"/>
      <c r="AF234" s="12"/>
      <c r="AG234" s="12"/>
      <c r="AH234" s="12"/>
      <c r="AI234" s="12"/>
    </row>
    <row r="235" spans="1:35" s="10" customFormat="1" x14ac:dyDescent="0.35">
      <c r="A235" s="12"/>
      <c r="B235" s="12"/>
      <c r="C235" s="12"/>
      <c r="D235"/>
      <c r="E235" s="24"/>
      <c r="F235" s="23"/>
      <c r="G235" s="22"/>
      <c r="H235" s="22"/>
      <c r="I235" s="22"/>
      <c r="J235" s="22"/>
      <c r="K235" s="22"/>
      <c r="L235" s="22"/>
      <c r="M235" s="21"/>
      <c r="N235" s="22"/>
      <c r="O235" s="22"/>
      <c r="P235" s="22"/>
      <c r="Q235" s="22"/>
      <c r="R235" s="22"/>
      <c r="S235" s="22"/>
      <c r="T235" s="19"/>
      <c r="U235"/>
      <c r="V235"/>
      <c r="W235"/>
      <c r="X235"/>
      <c r="Y235"/>
      <c r="Z235" s="12"/>
      <c r="AA235" s="12"/>
      <c r="AB235" s="12"/>
      <c r="AC235" s="12"/>
      <c r="AD235" s="12"/>
      <c r="AE235" s="12"/>
      <c r="AF235" s="12"/>
      <c r="AG235" s="12"/>
      <c r="AH235" s="12"/>
      <c r="AI235" s="12"/>
    </row>
    <row r="236" spans="1:35" s="10" customFormat="1" x14ac:dyDescent="0.35">
      <c r="A236" s="12"/>
      <c r="B236" s="12"/>
      <c r="C236" s="12"/>
      <c r="D236"/>
      <c r="E236" s="24"/>
      <c r="F236" s="23"/>
      <c r="G236" s="23"/>
      <c r="H236" s="26"/>
      <c r="I236" s="22"/>
      <c r="J236" s="22"/>
      <c r="K236" s="22"/>
      <c r="L236" s="22"/>
      <c r="M236" s="24"/>
      <c r="N236" s="22"/>
      <c r="O236" s="22"/>
      <c r="P236" s="22"/>
      <c r="Q236" s="22"/>
      <c r="R236" s="28"/>
      <c r="S236" s="22"/>
      <c r="T236" s="24"/>
      <c r="U236"/>
      <c r="V236"/>
      <c r="W236"/>
      <c r="X236"/>
      <c r="Y236"/>
      <c r="Z236" s="12"/>
      <c r="AA236" s="12"/>
      <c r="AB236" s="12"/>
      <c r="AC236" s="12"/>
      <c r="AD236" s="12"/>
      <c r="AE236" s="12"/>
      <c r="AF236" s="12"/>
      <c r="AG236" s="12"/>
      <c r="AH236" s="12"/>
      <c r="AI236" s="12"/>
    </row>
    <row r="237" spans="1:35" s="10" customFormat="1" x14ac:dyDescent="0.35">
      <c r="A237" s="12"/>
      <c r="B237" s="12"/>
      <c r="C237" s="12"/>
      <c r="D237"/>
      <c r="E237" s="19"/>
      <c r="F237" s="23"/>
      <c r="G237" s="22"/>
      <c r="H237" s="22"/>
      <c r="I237" s="22"/>
      <c r="J237" s="22"/>
      <c r="K237" s="22"/>
      <c r="L237" s="23"/>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35">
      <c r="A238" s="12"/>
      <c r="B238" s="12"/>
      <c r="C238" s="12"/>
      <c r="D238"/>
      <c r="E238" s="19"/>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35">
      <c r="A239" s="12"/>
      <c r="B239" s="12"/>
      <c r="C239" s="12"/>
      <c r="D239"/>
      <c r="E239" s="19"/>
      <c r="F239" s="23"/>
      <c r="G239" s="22"/>
      <c r="H239" s="25"/>
      <c r="I239" s="22"/>
      <c r="J239" s="22"/>
      <c r="K239" s="22"/>
      <c r="L239" s="23"/>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35">
      <c r="A240" s="12"/>
      <c r="B240" s="12"/>
      <c r="C240" s="12"/>
      <c r="D240"/>
      <c r="E240" s="19"/>
      <c r="F240" s="23"/>
      <c r="G240" s="22"/>
      <c r="H240" s="22"/>
      <c r="I240" s="22"/>
      <c r="J240" s="22"/>
      <c r="K240" s="22"/>
      <c r="L240" s="23"/>
      <c r="M240" s="24"/>
      <c r="N240" s="22"/>
      <c r="O240" s="22"/>
      <c r="P240" s="22"/>
      <c r="Q240" s="22"/>
      <c r="R240" s="28"/>
      <c r="S240" s="22"/>
      <c r="T240" s="24"/>
      <c r="U240"/>
      <c r="V240"/>
      <c r="W240"/>
      <c r="X240"/>
      <c r="Y240"/>
      <c r="Z240" s="12"/>
      <c r="AA240" s="12"/>
      <c r="AB240" s="12"/>
      <c r="AC240" s="12"/>
      <c r="AD240" s="12"/>
      <c r="AE240" s="12"/>
      <c r="AF240" s="12"/>
      <c r="AG240" s="12"/>
      <c r="AH240" s="12"/>
      <c r="AI240" s="12"/>
    </row>
    <row r="241" spans="1:35" s="10" customFormat="1" x14ac:dyDescent="0.35">
      <c r="A241" s="12"/>
      <c r="B241" s="12"/>
      <c r="C241" s="12"/>
      <c r="D241"/>
      <c r="E241" s="19"/>
      <c r="F241" s="23"/>
      <c r="G241" s="22"/>
      <c r="H241" s="22"/>
      <c r="I241" s="22"/>
      <c r="J241" s="22"/>
      <c r="K241" s="22"/>
      <c r="L241" s="23"/>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35">
      <c r="A242" s="12"/>
      <c r="B242" s="12"/>
      <c r="C242" s="12"/>
      <c r="D242"/>
      <c r="E242" s="22"/>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35">
      <c r="A243" s="12"/>
      <c r="B243" s="12"/>
      <c r="C243" s="12"/>
      <c r="D243"/>
      <c r="E243" s="22"/>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35">
      <c r="A244" s="12"/>
      <c r="B244" s="12"/>
      <c r="C244" s="12"/>
      <c r="D244"/>
      <c r="E244" s="22"/>
      <c r="F244" s="23"/>
      <c r="G244" s="22"/>
      <c r="H244" s="22"/>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35">
      <c r="A245" s="12"/>
      <c r="B245" s="12"/>
      <c r="C245" s="12"/>
      <c r="D245"/>
      <c r="E245" s="24"/>
      <c r="F245" s="23"/>
      <c r="G245" s="23"/>
      <c r="H245" s="23"/>
      <c r="I245" s="22"/>
      <c r="J245" s="22"/>
      <c r="K245" s="22"/>
      <c r="L245" s="22"/>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35">
      <c r="A246" s="12"/>
      <c r="B246" s="12"/>
      <c r="C246" s="12"/>
      <c r="D246"/>
      <c r="E246" s="24"/>
      <c r="F246" s="23"/>
      <c r="G246" s="23"/>
      <c r="H246" s="23"/>
      <c r="I246" s="22"/>
      <c r="J246" s="22"/>
      <c r="K246" s="22"/>
      <c r="L246" s="22"/>
      <c r="M246" s="24"/>
      <c r="N246" s="22"/>
      <c r="O246" s="22"/>
      <c r="P246" s="22"/>
      <c r="Q246" s="23"/>
      <c r="R246" s="23"/>
      <c r="S246" s="22"/>
      <c r="T246" s="24"/>
      <c r="U246"/>
      <c r="V246"/>
      <c r="W246"/>
      <c r="X246"/>
      <c r="Y246"/>
      <c r="Z246" s="12"/>
      <c r="AA246" s="12"/>
      <c r="AB246" s="12"/>
      <c r="AC246" s="12"/>
      <c r="AD246" s="12"/>
      <c r="AE246" s="12"/>
      <c r="AF246" s="12"/>
      <c r="AG246" s="12"/>
      <c r="AH246" s="12"/>
      <c r="AI246" s="12"/>
    </row>
    <row r="247" spans="1:35" s="10" customFormat="1" x14ac:dyDescent="0.35">
      <c r="A247" s="12"/>
      <c r="B247" s="12"/>
      <c r="C247" s="12"/>
      <c r="D247"/>
      <c r="E247" s="24"/>
      <c r="F247" s="23"/>
      <c r="G247" s="23"/>
      <c r="H247" s="23"/>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35">
      <c r="A248" s="12"/>
      <c r="B248" s="12"/>
      <c r="C248" s="12"/>
      <c r="D248"/>
      <c r="E248" s="24"/>
      <c r="F248" s="23"/>
      <c r="G248" s="23"/>
      <c r="H248" s="26"/>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35">
      <c r="A249" s="12"/>
      <c r="B249" s="12"/>
      <c r="C249" s="12"/>
      <c r="D249"/>
      <c r="E249" s="24"/>
      <c r="F249" s="23"/>
      <c r="G249" s="23"/>
      <c r="H249" s="26"/>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35">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35">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35">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3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3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35">
      <c r="A255" s="12"/>
      <c r="B255" s="12"/>
      <c r="C255" s="12"/>
      <c r="D255"/>
      <c r="E255" s="24"/>
      <c r="F255" s="23"/>
      <c r="G255" s="23"/>
      <c r="H255" s="26"/>
      <c r="I255" s="22"/>
      <c r="J255" s="22"/>
      <c r="K255" s="22"/>
      <c r="L255" s="22"/>
      <c r="M255" s="21"/>
      <c r="N255" s="22"/>
      <c r="O255" s="22"/>
      <c r="P255" s="22"/>
      <c r="Q255" s="22"/>
      <c r="R255" s="28"/>
      <c r="S255" s="22"/>
      <c r="T255" s="20"/>
      <c r="U255"/>
      <c r="V255"/>
      <c r="W255"/>
      <c r="X255"/>
      <c r="Y255"/>
      <c r="Z255" s="12"/>
      <c r="AA255" s="12"/>
      <c r="AB255" s="12"/>
      <c r="AC255" s="12"/>
      <c r="AD255" s="12"/>
      <c r="AE255" s="12"/>
      <c r="AF255" s="12"/>
      <c r="AG255" s="12"/>
      <c r="AH255" s="12"/>
      <c r="AI255" s="12"/>
    </row>
    <row r="256" spans="1:35" s="10" customFormat="1" x14ac:dyDescent="0.35">
      <c r="A256" s="12"/>
      <c r="B256" s="12"/>
      <c r="C256" s="12"/>
      <c r="D256"/>
      <c r="E256" s="24"/>
      <c r="F256" s="23"/>
      <c r="G256" s="22"/>
      <c r="H256" s="22"/>
      <c r="I256" s="22"/>
      <c r="J256" s="22"/>
      <c r="K256" s="22"/>
      <c r="L256" s="22"/>
      <c r="M256" s="21"/>
      <c r="N256" s="22"/>
      <c r="O256" s="22"/>
      <c r="P256" s="22"/>
      <c r="Q256" s="22"/>
      <c r="R256" s="22"/>
      <c r="S256" s="22"/>
      <c r="T256" s="19"/>
      <c r="U256"/>
      <c r="V256"/>
      <c r="W256"/>
      <c r="X256"/>
      <c r="Y256"/>
      <c r="Z256" s="12"/>
      <c r="AA256" s="12"/>
      <c r="AB256" s="12"/>
      <c r="AC256" s="12"/>
      <c r="AD256" s="12"/>
      <c r="AE256" s="12"/>
      <c r="AF256" s="12"/>
      <c r="AG256" s="12"/>
      <c r="AH256" s="12"/>
      <c r="AI256" s="12"/>
    </row>
    <row r="257" spans="1:35" s="10" customFormat="1" x14ac:dyDescent="0.35">
      <c r="A257" s="12"/>
      <c r="B257" s="12"/>
      <c r="C257" s="12"/>
      <c r="D257"/>
      <c r="E257" s="24"/>
      <c r="F257" s="23"/>
      <c r="G257" s="23"/>
      <c r="H257" s="26"/>
      <c r="I257" s="22"/>
      <c r="J257" s="22"/>
      <c r="K257" s="22"/>
      <c r="L257" s="22"/>
      <c r="M257" s="24"/>
      <c r="N257" s="22"/>
      <c r="O257" s="22"/>
      <c r="P257" s="22"/>
      <c r="Q257" s="22"/>
      <c r="R257" s="28"/>
      <c r="S257" s="22"/>
      <c r="T257" s="24"/>
      <c r="U257"/>
      <c r="V257"/>
      <c r="W257"/>
      <c r="X257"/>
      <c r="Y257"/>
      <c r="Z257" s="12"/>
      <c r="AA257" s="12"/>
      <c r="AB257" s="12"/>
      <c r="AC257" s="12"/>
      <c r="AD257" s="12"/>
      <c r="AE257" s="12"/>
      <c r="AF257" s="12"/>
      <c r="AG257" s="12"/>
      <c r="AH257" s="12"/>
      <c r="AI257" s="12"/>
    </row>
    <row r="258" spans="1:35" s="10" customFormat="1" x14ac:dyDescent="0.35">
      <c r="A258" s="12"/>
      <c r="B258" s="12"/>
      <c r="C258" s="12"/>
      <c r="D258"/>
      <c r="E258" s="19"/>
      <c r="F258" s="23"/>
      <c r="G258" s="22"/>
      <c r="H258" s="22"/>
      <c r="I258" s="22"/>
      <c r="J258" s="22"/>
      <c r="K258" s="22"/>
      <c r="L258" s="23"/>
      <c r="M258" s="24"/>
      <c r="N258" s="22"/>
      <c r="O258" s="22"/>
      <c r="P258" s="22"/>
      <c r="Q258" s="22"/>
      <c r="R258" s="28"/>
      <c r="S258" s="22"/>
      <c r="T258" s="24"/>
      <c r="U258"/>
      <c r="V258"/>
      <c r="W258"/>
      <c r="X258"/>
      <c r="Y258"/>
      <c r="Z258" s="12"/>
      <c r="AA258" s="12"/>
      <c r="AB258" s="12"/>
      <c r="AC258" s="12"/>
      <c r="AD258" s="12"/>
      <c r="AE258" s="12"/>
      <c r="AF258" s="12"/>
      <c r="AG258" s="12"/>
      <c r="AH258" s="12"/>
      <c r="AI258" s="12"/>
    </row>
    <row r="259" spans="1:35" s="10" customFormat="1" x14ac:dyDescent="0.35">
      <c r="A259" s="12"/>
      <c r="B259" s="12"/>
      <c r="C259" s="12"/>
      <c r="D259"/>
      <c r="E259" s="19"/>
      <c r="F259" s="23"/>
      <c r="G259" s="22"/>
      <c r="H259" s="22"/>
      <c r="I259" s="22"/>
      <c r="J259" s="22"/>
      <c r="K259" s="22"/>
      <c r="L259" s="23"/>
      <c r="M259" s="24"/>
      <c r="N259" s="22"/>
      <c r="O259" s="22"/>
      <c r="P259" s="22"/>
      <c r="Q259" s="22"/>
      <c r="R259" s="28"/>
      <c r="S259" s="22"/>
      <c r="T259" s="24"/>
      <c r="U259"/>
      <c r="V259"/>
      <c r="W259"/>
      <c r="X259"/>
      <c r="Y259"/>
      <c r="Z259" s="12"/>
      <c r="AA259" s="12"/>
      <c r="AB259" s="12"/>
      <c r="AC259" s="12"/>
      <c r="AD259" s="12"/>
      <c r="AE259" s="12"/>
      <c r="AF259" s="12"/>
      <c r="AG259" s="12"/>
      <c r="AH259" s="12"/>
      <c r="AI259" s="12"/>
    </row>
    <row r="260" spans="1:35" s="10" customFormat="1" x14ac:dyDescent="0.35">
      <c r="A260" s="12"/>
      <c r="B260" s="12"/>
      <c r="C260" s="12"/>
      <c r="D260"/>
      <c r="E260" s="19"/>
      <c r="F260" s="23"/>
      <c r="G260" s="22"/>
      <c r="H260" s="25"/>
      <c r="I260" s="22"/>
      <c r="J260" s="22"/>
      <c r="K260" s="22"/>
      <c r="L260" s="23"/>
      <c r="M260" s="24"/>
      <c r="N260" s="22"/>
      <c r="O260" s="22"/>
      <c r="P260" s="22"/>
      <c r="Q260" s="22"/>
      <c r="R260" s="28"/>
      <c r="S260" s="22"/>
      <c r="T260" s="24"/>
      <c r="U260"/>
      <c r="V260"/>
      <c r="W260"/>
      <c r="X260"/>
      <c r="Y260"/>
      <c r="Z260" s="12"/>
      <c r="AA260" s="12"/>
      <c r="AB260" s="12"/>
      <c r="AC260" s="12"/>
      <c r="AD260" s="12"/>
      <c r="AE260" s="12"/>
      <c r="AF260" s="12"/>
      <c r="AG260" s="12"/>
      <c r="AH260" s="12"/>
      <c r="AI260" s="12"/>
    </row>
    <row r="261" spans="1:35" s="10" customFormat="1" x14ac:dyDescent="0.35">
      <c r="A261" s="12"/>
      <c r="B261" s="12"/>
      <c r="C261" s="12"/>
      <c r="D261"/>
      <c r="E261" s="19"/>
      <c r="F261" s="23"/>
      <c r="G261" s="22"/>
      <c r="H261" s="22"/>
      <c r="I261" s="22"/>
      <c r="J261" s="22"/>
      <c r="K261" s="22"/>
      <c r="L261" s="23"/>
      <c r="M261" s="24"/>
      <c r="N261" s="22"/>
      <c r="O261" s="22"/>
      <c r="P261" s="22"/>
      <c r="Q261" s="22"/>
      <c r="R261" s="28"/>
      <c r="S261" s="22"/>
      <c r="T261" s="24"/>
      <c r="U261"/>
      <c r="V261"/>
      <c r="W261"/>
      <c r="X261"/>
      <c r="Y261"/>
      <c r="Z261" s="12"/>
      <c r="AA261" s="12"/>
      <c r="AB261" s="12"/>
      <c r="AC261" s="12"/>
      <c r="AD261" s="12"/>
      <c r="AE261" s="12"/>
      <c r="AF261" s="12"/>
      <c r="AG261" s="12"/>
      <c r="AH261" s="12"/>
      <c r="AI261" s="12"/>
    </row>
    <row r="262" spans="1:35" s="10" customFormat="1" x14ac:dyDescent="0.35">
      <c r="A262" s="12"/>
      <c r="B262" s="12"/>
      <c r="C262" s="12"/>
      <c r="D262"/>
      <c r="E262" s="19"/>
      <c r="F262" s="23"/>
      <c r="G262" s="22"/>
      <c r="H262" s="22"/>
      <c r="I262" s="22"/>
      <c r="J262" s="22"/>
      <c r="K262" s="22"/>
      <c r="L262" s="23"/>
      <c r="M262" s="24"/>
      <c r="N262" s="22"/>
      <c r="O262" s="22"/>
      <c r="P262" s="22"/>
      <c r="Q262" s="22"/>
      <c r="R262" s="28"/>
      <c r="S262" s="22"/>
      <c r="T262" s="24"/>
      <c r="U262"/>
      <c r="V262"/>
      <c r="W262"/>
      <c r="X262"/>
      <c r="Y262"/>
      <c r="Z262" s="12"/>
      <c r="AA262" s="12"/>
      <c r="AB262" s="12"/>
      <c r="AC262" s="12"/>
      <c r="AD262" s="12"/>
      <c r="AE262" s="12"/>
      <c r="AF262" s="12"/>
      <c r="AG262" s="12"/>
      <c r="AH262" s="12"/>
      <c r="AI262" s="12"/>
    </row>
    <row r="263" spans="1:35" s="10" customFormat="1" x14ac:dyDescent="0.35">
      <c r="A263" s="12"/>
      <c r="B263" s="12"/>
      <c r="C263" s="12"/>
      <c r="D263"/>
      <c r="E263" s="22"/>
      <c r="F263" s="23"/>
      <c r="G263" s="22"/>
      <c r="H263" s="22"/>
      <c r="I263" s="22"/>
      <c r="J263" s="22"/>
      <c r="K263" s="22"/>
      <c r="L263" s="23"/>
      <c r="M263" s="24"/>
      <c r="N263" s="22"/>
      <c r="O263" s="22"/>
      <c r="P263" s="22"/>
      <c r="Q263" s="22"/>
      <c r="R263" s="28"/>
      <c r="S263" s="22"/>
      <c r="T263" s="24"/>
      <c r="U263"/>
      <c r="V263"/>
      <c r="W263"/>
      <c r="X263"/>
      <c r="Y263"/>
      <c r="Z263" s="12"/>
      <c r="AA263" s="12"/>
      <c r="AB263" s="12"/>
      <c r="AC263" s="12"/>
      <c r="AD263" s="12"/>
      <c r="AE263" s="12"/>
      <c r="AF263" s="12"/>
      <c r="AG263" s="12"/>
      <c r="AH263" s="12"/>
      <c r="AI263" s="12"/>
    </row>
    <row r="264" spans="1:35" s="10" customFormat="1" x14ac:dyDescent="0.35">
      <c r="A264" s="12"/>
      <c r="B264" s="12"/>
      <c r="C264" s="12"/>
      <c r="D264"/>
      <c r="E264" s="22"/>
      <c r="F264" s="23"/>
      <c r="G264" s="22"/>
      <c r="H264" s="22"/>
      <c r="I264" s="22"/>
      <c r="J264" s="22"/>
      <c r="K264" s="22"/>
      <c r="L264" s="23"/>
      <c r="M264" s="24"/>
      <c r="N264" s="22"/>
      <c r="O264" s="22"/>
      <c r="P264" s="22"/>
      <c r="Q264" s="22"/>
      <c r="R264" s="28"/>
      <c r="S264" s="22"/>
      <c r="T264" s="24"/>
      <c r="U264"/>
      <c r="V264"/>
      <c r="W264"/>
      <c r="X264"/>
      <c r="Y264"/>
      <c r="Z264" s="12"/>
      <c r="AA264" s="12"/>
      <c r="AB264" s="12"/>
      <c r="AC264" s="12"/>
      <c r="AD264" s="12"/>
      <c r="AE264" s="12"/>
      <c r="AF264" s="12"/>
      <c r="AG264" s="12"/>
      <c r="AH264" s="12"/>
      <c r="AI264" s="12"/>
    </row>
    <row r="265" spans="1:35" s="10" customFormat="1" x14ac:dyDescent="0.35">
      <c r="A265" s="12"/>
      <c r="B265" s="12"/>
      <c r="C265" s="12"/>
      <c r="D265"/>
      <c r="E265" s="22"/>
      <c r="F265" s="23"/>
      <c r="G265" s="22"/>
      <c r="H265" s="22"/>
      <c r="I265" s="22"/>
      <c r="J265" s="22"/>
      <c r="K265" s="22"/>
      <c r="L265" s="23"/>
      <c r="M265" s="24"/>
      <c r="N265" s="22"/>
      <c r="O265" s="22"/>
      <c r="P265" s="22"/>
      <c r="Q265" s="22"/>
      <c r="R265" s="28"/>
      <c r="S265" s="22"/>
      <c r="T265" s="24"/>
      <c r="U265"/>
      <c r="V265"/>
      <c r="W265"/>
      <c r="X265"/>
      <c r="Y265"/>
      <c r="Z265" s="12"/>
      <c r="AA265" s="12"/>
      <c r="AB265" s="12"/>
      <c r="AC265" s="12"/>
      <c r="AD265" s="12"/>
      <c r="AE265" s="12"/>
      <c r="AF265" s="12"/>
      <c r="AG265" s="12"/>
      <c r="AH265" s="12"/>
      <c r="AI265" s="12"/>
    </row>
    <row r="266" spans="1:35" s="10" customFormat="1" x14ac:dyDescent="0.35">
      <c r="A266" s="12"/>
      <c r="B266" s="12"/>
      <c r="C266" s="12"/>
      <c r="D266"/>
      <c r="E266" s="24"/>
      <c r="F266" s="23"/>
      <c r="G266" s="23"/>
      <c r="H266" s="23"/>
      <c r="I266" s="22"/>
      <c r="J266" s="22"/>
      <c r="K266" s="22"/>
      <c r="L266" s="22"/>
      <c r="M266" s="24"/>
      <c r="N266" s="22"/>
      <c r="O266" s="22"/>
      <c r="P266" s="22"/>
      <c r="Q266" s="22"/>
      <c r="R266" s="28"/>
      <c r="S266" s="22"/>
      <c r="T266" s="24"/>
      <c r="U266"/>
      <c r="V266"/>
      <c r="W266"/>
      <c r="X266"/>
      <c r="Y266"/>
      <c r="Z266" s="12"/>
      <c r="AA266" s="12"/>
      <c r="AB266" s="12"/>
      <c r="AC266" s="12"/>
      <c r="AD266" s="12"/>
      <c r="AE266" s="12"/>
      <c r="AF266" s="12"/>
      <c r="AG266" s="12"/>
      <c r="AH266" s="12"/>
      <c r="AI266" s="12"/>
    </row>
    <row r="267" spans="1:35" s="10" customFormat="1" x14ac:dyDescent="0.35">
      <c r="A267" s="12"/>
      <c r="B267" s="12"/>
      <c r="C267" s="12"/>
      <c r="D267"/>
      <c r="E267" s="24"/>
      <c r="F267" s="23"/>
      <c r="G267" s="23"/>
      <c r="H267" s="23"/>
      <c r="I267" s="22"/>
      <c r="J267" s="22"/>
      <c r="K267" s="22"/>
      <c r="L267" s="22"/>
      <c r="M267" s="24"/>
      <c r="N267" s="22"/>
      <c r="O267" s="22"/>
      <c r="P267" s="22"/>
      <c r="Q267" s="23"/>
      <c r="R267" s="23"/>
      <c r="S267" s="22"/>
      <c r="T267" s="24"/>
      <c r="U267"/>
      <c r="V267"/>
      <c r="W267"/>
      <c r="X267"/>
      <c r="Y267"/>
      <c r="Z267" s="12"/>
      <c r="AA267" s="12"/>
      <c r="AB267" s="12"/>
      <c r="AC267" s="12"/>
      <c r="AD267" s="12"/>
      <c r="AE267" s="12"/>
      <c r="AF267" s="12"/>
      <c r="AG267" s="12"/>
      <c r="AH267" s="12"/>
      <c r="AI267" s="12"/>
    </row>
    <row r="268" spans="1:35" s="10" customFormat="1" x14ac:dyDescent="0.35">
      <c r="A268" s="12"/>
      <c r="B268" s="12"/>
      <c r="C268" s="12"/>
      <c r="D268"/>
      <c r="E268" s="24"/>
      <c r="F268" s="23"/>
      <c r="G268" s="23"/>
      <c r="H268" s="23"/>
      <c r="I268" s="22"/>
      <c r="J268" s="22"/>
      <c r="K268" s="22"/>
      <c r="L268" s="22"/>
      <c r="M268" s="24"/>
      <c r="N268" s="22"/>
      <c r="O268" s="22"/>
      <c r="P268" s="22"/>
      <c r="Q268" s="23"/>
      <c r="R268" s="23"/>
      <c r="S268" s="22"/>
      <c r="T268" s="24"/>
      <c r="U268"/>
      <c r="V268"/>
      <c r="W268"/>
      <c r="X268"/>
      <c r="Y268"/>
      <c r="Z268" s="12"/>
      <c r="AA268" s="12"/>
      <c r="AB268" s="12"/>
      <c r="AC268" s="12"/>
      <c r="AD268" s="12"/>
      <c r="AE268" s="12"/>
      <c r="AF268" s="12"/>
      <c r="AG268" s="12"/>
      <c r="AH268" s="12"/>
      <c r="AI268" s="12"/>
    </row>
    <row r="269" spans="1:35" s="10" customFormat="1" x14ac:dyDescent="0.35">
      <c r="A269" s="12"/>
      <c r="B269" s="12"/>
      <c r="C269" s="12"/>
      <c r="D269"/>
      <c r="E269" s="24"/>
      <c r="F269" s="23"/>
      <c r="G269" s="23"/>
      <c r="H269" s="26"/>
      <c r="I269" s="22"/>
      <c r="J269" s="22"/>
      <c r="K269" s="22"/>
      <c r="L269" s="22"/>
      <c r="M269" s="24"/>
      <c r="N269" s="22"/>
      <c r="O269" s="22"/>
      <c r="P269" s="22"/>
      <c r="Q269" s="23"/>
      <c r="R269" s="23"/>
      <c r="S269" s="22"/>
      <c r="T269" s="24"/>
      <c r="U269"/>
      <c r="V269"/>
      <c r="W269"/>
      <c r="X269"/>
      <c r="Y269"/>
      <c r="Z269" s="12"/>
      <c r="AA269" s="12"/>
      <c r="AB269" s="12"/>
      <c r="AC269" s="12"/>
      <c r="AD269" s="12"/>
      <c r="AE269" s="12"/>
      <c r="AF269" s="12"/>
      <c r="AG269" s="12"/>
      <c r="AH269" s="12"/>
      <c r="AI269" s="12"/>
    </row>
    <row r="270" spans="1:35" s="10" customFormat="1" x14ac:dyDescent="0.35">
      <c r="A270" s="12"/>
      <c r="B270" s="12"/>
      <c r="C270" s="12"/>
      <c r="D270"/>
      <c r="E270" s="24"/>
      <c r="F270" s="23"/>
      <c r="G270" s="23"/>
      <c r="H270" s="26"/>
      <c r="I270" s="22"/>
      <c r="J270" s="22"/>
      <c r="K270" s="22"/>
      <c r="L270" s="22"/>
      <c r="M270" s="24"/>
      <c r="N270" s="22"/>
      <c r="O270" s="22"/>
      <c r="P270" s="22"/>
      <c r="Q270" s="23"/>
      <c r="R270" s="23"/>
      <c r="S270" s="22"/>
      <c r="T270" s="24"/>
      <c r="U270"/>
      <c r="V270"/>
      <c r="W270"/>
      <c r="X270"/>
      <c r="Y270"/>
      <c r="Z270" s="12"/>
      <c r="AA270" s="12"/>
      <c r="AB270" s="12"/>
      <c r="AC270" s="12"/>
      <c r="AD270" s="12"/>
      <c r="AE270" s="12"/>
      <c r="AF270" s="12"/>
      <c r="AG270" s="12"/>
      <c r="AH270" s="12"/>
      <c r="AI270" s="12"/>
    </row>
    <row r="271" spans="1:35" s="10" customFormat="1" x14ac:dyDescent="0.35">
      <c r="A271" s="12"/>
      <c r="B271" s="12"/>
      <c r="C271" s="12"/>
      <c r="D271"/>
      <c r="E271" s="24"/>
      <c r="F271" s="23"/>
      <c r="G271" s="23"/>
      <c r="H271" s="26"/>
      <c r="I271" s="22"/>
      <c r="J271" s="22"/>
      <c r="K271" s="22"/>
      <c r="L271" s="22"/>
      <c r="M271" s="24"/>
      <c r="N271" s="22"/>
      <c r="O271" s="22"/>
      <c r="P271" s="22"/>
      <c r="Q271" s="23"/>
      <c r="R271" s="23"/>
      <c r="S271" s="22"/>
      <c r="T271" s="24"/>
      <c r="U271"/>
      <c r="V271"/>
      <c r="W271"/>
      <c r="X271"/>
      <c r="Y271"/>
      <c r="Z271" s="12"/>
      <c r="AA271" s="12"/>
      <c r="AB271" s="12"/>
      <c r="AC271" s="12"/>
      <c r="AD271" s="12"/>
      <c r="AE271" s="12"/>
      <c r="AF271" s="12"/>
      <c r="AG271" s="12"/>
      <c r="AH271" s="12"/>
      <c r="AI271" s="12"/>
    </row>
    <row r="272" spans="1:35" s="10" customFormat="1" x14ac:dyDescent="0.35">
      <c r="A272" s="12"/>
      <c r="B272" s="12"/>
      <c r="C272" s="12"/>
      <c r="D272"/>
      <c r="E272" s="24"/>
      <c r="F272" s="23"/>
      <c r="G272" s="23"/>
      <c r="H272" s="26"/>
      <c r="I272" s="22"/>
      <c r="J272" s="22"/>
      <c r="K272" s="22"/>
      <c r="L272" s="22"/>
      <c r="M272" s="24"/>
      <c r="N272" s="22"/>
      <c r="O272" s="22"/>
      <c r="P272" s="22"/>
      <c r="Q272" s="23"/>
      <c r="R272" s="23"/>
      <c r="S272" s="22"/>
      <c r="T272" s="24"/>
      <c r="U272"/>
      <c r="V272"/>
      <c r="W272"/>
      <c r="X272"/>
      <c r="Y272"/>
      <c r="Z272" s="12"/>
      <c r="AA272" s="12"/>
      <c r="AB272" s="12"/>
      <c r="AC272" s="12"/>
      <c r="AD272" s="12"/>
      <c r="AE272" s="12"/>
      <c r="AF272" s="12"/>
      <c r="AG272" s="12"/>
      <c r="AH272" s="12"/>
      <c r="AI272" s="12"/>
    </row>
    <row r="273" spans="1:35" s="10" customFormat="1" x14ac:dyDescent="0.35">
      <c r="A273" s="12"/>
      <c r="B273" s="12"/>
      <c r="C273" s="12"/>
      <c r="D273"/>
      <c r="E273" s="24"/>
      <c r="F273" s="23"/>
      <c r="G273" s="23"/>
      <c r="H273" s="26"/>
      <c r="I273" s="22"/>
      <c r="J273" s="22"/>
      <c r="K273" s="22"/>
      <c r="L273" s="22"/>
      <c r="M273" s="24"/>
      <c r="N273" s="22"/>
      <c r="O273" s="22"/>
      <c r="P273" s="22"/>
      <c r="Q273" s="23"/>
      <c r="R273" s="23"/>
      <c r="S273" s="22"/>
      <c r="T273" s="24"/>
      <c r="U273"/>
      <c r="V273"/>
      <c r="W273"/>
      <c r="X273"/>
      <c r="Y273"/>
      <c r="Z273" s="12"/>
      <c r="AA273" s="12"/>
      <c r="AB273" s="12"/>
      <c r="AC273" s="12"/>
      <c r="AD273" s="12"/>
      <c r="AE273" s="12"/>
      <c r="AF273" s="12"/>
      <c r="AG273" s="12"/>
      <c r="AH273" s="12"/>
      <c r="AI273" s="12"/>
    </row>
    <row r="274" spans="1:35" s="10" customFormat="1" x14ac:dyDescent="0.35">
      <c r="A274" s="12"/>
      <c r="B274" s="12"/>
      <c r="C274" s="12"/>
      <c r="D274"/>
      <c r="E274" s="24"/>
      <c r="F274" s="23"/>
      <c r="G274" s="23"/>
      <c r="H274" s="26"/>
      <c r="I274" s="22"/>
      <c r="J274" s="22"/>
      <c r="K274" s="22"/>
      <c r="L274" s="22"/>
      <c r="M274" s="24"/>
      <c r="N274" s="22"/>
      <c r="O274" s="22"/>
      <c r="P274" s="22"/>
      <c r="Q274" s="23"/>
      <c r="R274" s="23"/>
      <c r="S274" s="22"/>
      <c r="T274" s="24"/>
      <c r="U274"/>
      <c r="V274"/>
      <c r="W274"/>
      <c r="X274"/>
      <c r="Y274"/>
      <c r="Z274" s="12"/>
      <c r="AA274" s="12"/>
      <c r="AB274" s="12"/>
      <c r="AC274" s="12"/>
      <c r="AD274" s="12"/>
      <c r="AE274" s="12"/>
      <c r="AF274" s="12"/>
      <c r="AG274" s="12"/>
      <c r="AH274" s="12"/>
      <c r="AI274" s="12"/>
    </row>
    <row r="275" spans="1:35" s="10" customFormat="1" x14ac:dyDescent="0.35">
      <c r="A275" s="12"/>
      <c r="B275" s="12"/>
      <c r="C275" s="12"/>
      <c r="D275"/>
      <c r="E275" s="24"/>
      <c r="F275" s="23"/>
      <c r="G275" s="23"/>
      <c r="H275" s="26"/>
      <c r="I275" s="22"/>
      <c r="J275" s="22"/>
      <c r="K275" s="22"/>
      <c r="L275" s="22"/>
      <c r="M275" s="24"/>
      <c r="N275" s="22"/>
      <c r="O275" s="22"/>
      <c r="P275" s="22"/>
      <c r="Q275" s="23"/>
      <c r="R275" s="23"/>
      <c r="S275" s="22"/>
      <c r="T275" s="24"/>
      <c r="U275"/>
      <c r="V275"/>
      <c r="W275"/>
      <c r="X275"/>
      <c r="Y275"/>
      <c r="Z275" s="12"/>
      <c r="AA275" s="12"/>
      <c r="AB275" s="12"/>
      <c r="AC275" s="12"/>
      <c r="AD275" s="12"/>
      <c r="AE275" s="12"/>
      <c r="AF275" s="12"/>
      <c r="AG275" s="12"/>
      <c r="AH275" s="12"/>
      <c r="AI275" s="12"/>
    </row>
    <row r="276" spans="1:35" s="10" customFormat="1" x14ac:dyDescent="0.35">
      <c r="A276" s="12"/>
      <c r="B276" s="12"/>
      <c r="C276" s="12"/>
      <c r="D276"/>
      <c r="E276" s="24"/>
      <c r="F276" s="23"/>
      <c r="G276" s="23"/>
      <c r="H276" s="26"/>
      <c r="I276" s="22"/>
      <c r="J276" s="22"/>
      <c r="K276" s="22"/>
      <c r="L276" s="22"/>
      <c r="M276" s="21"/>
      <c r="N276" s="22"/>
      <c r="O276" s="22"/>
      <c r="P276" s="22"/>
      <c r="Q276" s="22"/>
      <c r="R276" s="28"/>
      <c r="S276" s="22"/>
      <c r="T276" s="20"/>
      <c r="U276"/>
      <c r="V276"/>
      <c r="W276"/>
      <c r="X276"/>
      <c r="Y276"/>
      <c r="Z276" s="12"/>
      <c r="AA276" s="12"/>
      <c r="AB276" s="12"/>
      <c r="AC276" s="12"/>
      <c r="AD276" s="12"/>
      <c r="AE276" s="12"/>
      <c r="AF276" s="12"/>
      <c r="AG276" s="12"/>
      <c r="AH276" s="12"/>
      <c r="AI276" s="12"/>
    </row>
    <row r="277" spans="1:35" s="10" customFormat="1" x14ac:dyDescent="0.3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35">
      <c r="A278" s="12"/>
      <c r="B278" s="12"/>
      <c r="C278" s="12"/>
      <c r="D278"/>
      <c r="E278"/>
      <c r="F278"/>
      <c r="G278"/>
      <c r="H278"/>
      <c r="I278"/>
      <c r="J278"/>
      <c r="K278"/>
      <c r="L278"/>
      <c r="M278"/>
      <c r="N278"/>
      <c r="O278"/>
      <c r="P278"/>
      <c r="Q278"/>
      <c r="R278"/>
      <c r="S278"/>
      <c r="T278"/>
      <c r="U278"/>
      <c r="V278"/>
      <c r="W278"/>
      <c r="X278"/>
      <c r="Y278" s="12"/>
      <c r="Z278" s="12"/>
      <c r="AA278" s="12"/>
      <c r="AB278" s="12"/>
      <c r="AC278" s="12"/>
      <c r="AD278" s="12"/>
      <c r="AE278" s="12"/>
      <c r="AF278" s="12"/>
      <c r="AG278" s="12"/>
      <c r="AH278" s="12"/>
      <c r="AI278" s="12"/>
    </row>
    <row r="279" spans="1:35" s="10" customFormat="1" x14ac:dyDescent="0.35">
      <c r="A279" s="12"/>
      <c r="B279" s="12"/>
      <c r="C279" s="12"/>
      <c r="D279"/>
      <c r="E279"/>
      <c r="F279"/>
      <c r="G279"/>
      <c r="H279"/>
      <c r="I279"/>
      <c r="J279"/>
      <c r="K279"/>
      <c r="L279"/>
      <c r="M279"/>
      <c r="N279"/>
      <c r="O279"/>
      <c r="P279"/>
      <c r="Q279"/>
      <c r="R279"/>
      <c r="S279"/>
      <c r="T279"/>
      <c r="U279"/>
      <c r="V279"/>
      <c r="W279"/>
      <c r="X279"/>
      <c r="Y279" s="12"/>
      <c r="Z279" s="12"/>
      <c r="AA279" s="12"/>
      <c r="AB279" s="12"/>
      <c r="AC279" s="12"/>
      <c r="AD279" s="12"/>
      <c r="AE279" s="12"/>
      <c r="AF279" s="12"/>
      <c r="AG279" s="12"/>
      <c r="AH279" s="12"/>
      <c r="AI279" s="12"/>
    </row>
    <row r="280" spans="1:35" s="10" customFormat="1" x14ac:dyDescent="0.35">
      <c r="A280" s="12"/>
      <c r="B280" s="12"/>
      <c r="C280" s="12"/>
      <c r="D280"/>
      <c r="E280"/>
      <c r="F280"/>
      <c r="G280"/>
      <c r="H280"/>
      <c r="I280"/>
      <c r="J280"/>
      <c r="K280"/>
      <c r="L280"/>
      <c r="M280"/>
      <c r="N280"/>
      <c r="O280"/>
      <c r="P280"/>
      <c r="Q280"/>
      <c r="R280"/>
      <c r="S280"/>
      <c r="T280"/>
      <c r="U280"/>
      <c r="V280"/>
      <c r="W280"/>
      <c r="X280"/>
      <c r="Y280" s="12"/>
      <c r="Z280" s="12"/>
      <c r="AA280" s="12"/>
      <c r="AB280" s="12"/>
      <c r="AC280" s="12"/>
      <c r="AD280" s="12"/>
      <c r="AE280" s="12"/>
      <c r="AF280" s="12"/>
      <c r="AG280" s="12"/>
      <c r="AH280" s="12"/>
      <c r="AI280" s="12"/>
    </row>
    <row r="281" spans="1:35" s="10" customFormat="1" x14ac:dyDescent="0.35">
      <c r="A281" s="12"/>
      <c r="B281" s="12"/>
      <c r="C281" s="12"/>
      <c r="D281"/>
      <c r="E281"/>
      <c r="F281"/>
      <c r="G281"/>
      <c r="H281"/>
      <c r="I281"/>
      <c r="J281"/>
      <c r="K281"/>
      <c r="L281"/>
      <c r="M281"/>
      <c r="N281"/>
      <c r="O281"/>
      <c r="P281"/>
      <c r="Q281"/>
      <c r="R281"/>
      <c r="S281"/>
      <c r="T281"/>
      <c r="U281"/>
      <c r="V281"/>
      <c r="W281"/>
      <c r="X281"/>
      <c r="Y281" s="12"/>
      <c r="Z281" s="12"/>
      <c r="AA281" s="12"/>
      <c r="AB281" s="12"/>
      <c r="AC281" s="12"/>
      <c r="AD281" s="12"/>
      <c r="AE281" s="12"/>
      <c r="AF281" s="12"/>
      <c r="AG281" s="12"/>
      <c r="AH281" s="12"/>
      <c r="AI281" s="12"/>
    </row>
    <row r="282" spans="1:35" s="10" customFormat="1" x14ac:dyDescent="0.35">
      <c r="A282" s="12"/>
      <c r="B282" s="12"/>
      <c r="C282" s="12"/>
      <c r="D282"/>
      <c r="E282"/>
      <c r="F282"/>
      <c r="G282"/>
      <c r="H282"/>
      <c r="I282"/>
      <c r="J282"/>
      <c r="K282"/>
      <c r="L282"/>
      <c r="M282"/>
      <c r="N282"/>
      <c r="O282"/>
      <c r="P282"/>
      <c r="Q282"/>
      <c r="R282"/>
      <c r="S282"/>
      <c r="T282"/>
      <c r="U282"/>
      <c r="V282"/>
      <c r="W282"/>
      <c r="X282"/>
      <c r="Y282" s="12"/>
      <c r="Z282" s="12"/>
      <c r="AA282" s="12"/>
      <c r="AB282" s="12"/>
      <c r="AC282" s="12"/>
      <c r="AD282" s="12"/>
      <c r="AE282" s="12"/>
      <c r="AF282" s="12"/>
      <c r="AG282" s="12"/>
      <c r="AH282" s="12"/>
      <c r="AI282" s="12"/>
    </row>
    <row r="283" spans="1:35" s="10" customFormat="1" x14ac:dyDescent="0.3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3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3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3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3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3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3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3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3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3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3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3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3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3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3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3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3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3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3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3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3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3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3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3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3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3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3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3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3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3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3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3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3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3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3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3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3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3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3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3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3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3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3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3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3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3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3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3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3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3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3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3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3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3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3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3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3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3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3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3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3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3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3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3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3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3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3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3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3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3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3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3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3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3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3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3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3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3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3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3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3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3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3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3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3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3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3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3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3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3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3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3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3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3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3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3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3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3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3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3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3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3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3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3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3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3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3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3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3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3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3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3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3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3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3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3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35">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35">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35">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35">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35">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35">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35">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35">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35">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35">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35">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3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3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3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3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3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3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3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3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3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3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3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3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3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3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3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3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3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3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3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3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3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3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3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3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3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3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3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3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3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3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3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3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3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3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3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3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3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3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3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3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3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3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3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3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3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3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3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3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35">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35">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35">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35">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35">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35">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35">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35">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35">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35">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35">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35">
      <c r="A469" s="12"/>
      <c r="B469" s="12"/>
      <c r="C469" s="12"/>
      <c r="D469" s="15"/>
      <c r="E469"/>
      <c r="F469"/>
      <c r="G469" s="3"/>
      <c r="H469" s="3"/>
      <c r="I469" s="3"/>
      <c r="J469" s="3"/>
      <c r="K469"/>
      <c r="L469"/>
      <c r="M469"/>
      <c r="N469" s="3"/>
      <c r="O469" s="3"/>
      <c r="P469" s="3"/>
      <c r="Q469" s="3"/>
      <c r="R469" s="3"/>
      <c r="S469"/>
      <c r="T469"/>
      <c r="U469" s="12"/>
      <c r="V469" s="12"/>
      <c r="W469" s="12"/>
      <c r="X469" s="12"/>
      <c r="Y469" s="12"/>
      <c r="Z469" s="12"/>
      <c r="AA469" s="12"/>
      <c r="AB469" s="12"/>
      <c r="AC469" s="12"/>
      <c r="AD469" s="12"/>
      <c r="AE469" s="12"/>
      <c r="AF469" s="12"/>
      <c r="AG469" s="12"/>
      <c r="AH469" s="12"/>
      <c r="AI469" s="12"/>
    </row>
    <row r="470" spans="1:35" s="10" customFormat="1" x14ac:dyDescent="0.35">
      <c r="A470" s="12"/>
      <c r="B470" s="12"/>
      <c r="C470" s="12"/>
      <c r="D470" s="15"/>
      <c r="E470"/>
      <c r="F470"/>
      <c r="G470" s="3"/>
      <c r="H470" s="3"/>
      <c r="I470" s="3"/>
      <c r="J470" s="3"/>
      <c r="K470"/>
      <c r="L470"/>
      <c r="M470"/>
      <c r="N470" s="3"/>
      <c r="O470" s="3"/>
      <c r="P470" s="3"/>
      <c r="Q470" s="3"/>
      <c r="R470" s="3"/>
      <c r="S470"/>
      <c r="T470"/>
      <c r="U470" s="12"/>
      <c r="V470" s="12"/>
      <c r="W470" s="12"/>
      <c r="X470" s="12"/>
      <c r="Y470" s="12"/>
      <c r="Z470" s="12"/>
      <c r="AA470" s="12"/>
      <c r="AB470" s="12"/>
      <c r="AC470" s="12"/>
      <c r="AD470" s="12"/>
      <c r="AE470" s="12"/>
      <c r="AF470" s="12"/>
      <c r="AG470" s="12"/>
      <c r="AH470" s="12"/>
      <c r="AI470" s="12"/>
    </row>
    <row r="471" spans="1:35" s="10" customFormat="1" x14ac:dyDescent="0.35">
      <c r="A471" s="12"/>
      <c r="B471" s="12"/>
      <c r="C471" s="12"/>
      <c r="D471" s="15"/>
      <c r="E471"/>
      <c r="F471"/>
      <c r="G471" s="3"/>
      <c r="H471" s="3"/>
      <c r="I471" s="3"/>
      <c r="J471" s="3"/>
      <c r="K471"/>
      <c r="L471"/>
      <c r="M471"/>
      <c r="N471" s="3"/>
      <c r="O471" s="3"/>
      <c r="P471" s="3"/>
      <c r="Q471" s="3"/>
      <c r="R471" s="3"/>
      <c r="S471"/>
      <c r="T471"/>
      <c r="U471" s="12"/>
      <c r="V471" s="12"/>
      <c r="W471" s="12"/>
      <c r="X471" s="12"/>
      <c r="Y471" s="12"/>
      <c r="Z471" s="12"/>
      <c r="AA471" s="12"/>
      <c r="AB471" s="12"/>
      <c r="AC471" s="12"/>
      <c r="AD471" s="12"/>
      <c r="AE471" s="12"/>
      <c r="AF471" s="12"/>
      <c r="AG471" s="12"/>
      <c r="AH471" s="12"/>
      <c r="AI471" s="12"/>
    </row>
    <row r="472" spans="1:35" s="10" customFormat="1" x14ac:dyDescent="0.35">
      <c r="A472" s="12"/>
      <c r="B472" s="12"/>
      <c r="C472" s="12"/>
      <c r="D472" s="12"/>
      <c r="E472"/>
      <c r="F472"/>
      <c r="G472" s="3"/>
      <c r="H472" s="3"/>
      <c r="I472" s="3"/>
      <c r="J472" s="3"/>
      <c r="K472"/>
      <c r="L472"/>
      <c r="M472"/>
      <c r="N472" s="3"/>
      <c r="O472" s="3"/>
      <c r="P472" s="3"/>
      <c r="Q472" s="3"/>
      <c r="R472" s="3"/>
      <c r="S472"/>
      <c r="T472"/>
      <c r="U472" s="12"/>
      <c r="V472" s="12"/>
      <c r="W472" s="12"/>
      <c r="X472" s="12"/>
      <c r="Y472" s="12"/>
      <c r="Z472" s="12"/>
      <c r="AA472" s="12"/>
      <c r="AB472" s="12"/>
      <c r="AC472" s="12"/>
      <c r="AD472" s="12"/>
      <c r="AE472" s="12"/>
      <c r="AF472" s="12"/>
      <c r="AG472" s="12"/>
      <c r="AH472" s="12"/>
      <c r="AI472" s="12"/>
    </row>
    <row r="473" spans="1:35" s="10" customFormat="1" x14ac:dyDescent="0.35">
      <c r="A473" s="12"/>
      <c r="B473" s="12"/>
      <c r="C473" s="12"/>
      <c r="D473" s="12"/>
      <c r="E473"/>
      <c r="F473"/>
      <c r="G473" s="3"/>
      <c r="H473" s="3"/>
      <c r="I473" s="3"/>
      <c r="J473" s="3"/>
      <c r="K473"/>
      <c r="L473"/>
      <c r="M473"/>
      <c r="N473" s="3"/>
      <c r="O473" s="3"/>
      <c r="P473" s="3"/>
      <c r="Q473" s="3"/>
      <c r="R473" s="3"/>
      <c r="S473"/>
      <c r="T473"/>
      <c r="U473" s="12"/>
      <c r="V473" s="12"/>
      <c r="W473" s="12"/>
      <c r="X473" s="12"/>
      <c r="Y473" s="12"/>
      <c r="Z473" s="12"/>
      <c r="AA473" s="12"/>
      <c r="AB473" s="12"/>
      <c r="AC473" s="12"/>
      <c r="AD473" s="12"/>
      <c r="AE473" s="12"/>
      <c r="AF473" s="12"/>
      <c r="AG473" s="12"/>
      <c r="AH473" s="12"/>
      <c r="AI473" s="12"/>
    </row>
    <row r="474" spans="1:35" s="10" customFormat="1" x14ac:dyDescent="0.3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3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3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3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3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3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3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3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3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3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3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3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3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3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3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3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3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3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3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3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3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3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3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3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3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3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3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35">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35">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35">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35">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35">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35">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35">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35">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35">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35">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35">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5" spans="1:35" s="10" customFormat="1" x14ac:dyDescent="0.3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3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3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3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3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3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3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3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3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3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3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3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3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3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3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3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3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3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3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3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3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3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3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3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3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3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3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3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3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3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3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3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3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3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3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3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3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3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3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3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3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3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3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3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3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3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3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3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3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3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3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3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3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3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3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3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3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3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3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3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3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3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3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3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3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3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3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3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3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3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3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3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3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3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3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3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3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3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3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3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3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3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3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3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3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3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3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3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3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3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3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3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3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3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3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3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3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3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3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3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3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3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3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3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3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3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3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3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3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3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3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3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3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3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3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3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3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3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3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3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3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3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3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3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3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3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3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3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3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3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3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3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3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3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3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3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3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3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3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3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3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3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3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3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3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3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3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3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3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3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3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3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3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3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3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3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3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3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3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3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3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3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3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3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3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3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3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3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3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3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3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3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3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3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3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3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3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3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3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3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3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3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3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3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3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3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3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3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3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3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3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3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3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3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3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3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3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3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3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3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3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3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3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3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3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3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3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3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3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3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3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3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3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3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3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3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3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3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3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3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3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3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3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3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3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3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3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3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3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3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3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3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3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3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3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3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3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3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3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3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3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3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3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3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3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3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3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3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3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3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3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3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3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3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3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3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3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3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3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3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3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3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3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3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3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3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3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3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3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3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3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3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3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3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3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3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3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3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3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3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3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3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3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3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3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3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3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3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3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3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3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3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3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3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3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3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3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3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3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3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3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3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3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3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3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3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3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3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3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3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3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3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3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3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3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3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3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3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3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3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3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3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3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3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3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3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3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3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3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3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3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3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3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3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3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3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3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3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3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3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3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3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3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3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3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3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3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3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3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3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3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3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3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3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3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3" spans="1:35" s="10" customFormat="1" x14ac:dyDescent="0.3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3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3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3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3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3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3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3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3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3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3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3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3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3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3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3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3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3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3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3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3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3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3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3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3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3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3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3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3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3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3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3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3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3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3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3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3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3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3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3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3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3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3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3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3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3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3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3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3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3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3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3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3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3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3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3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3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3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3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3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3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3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3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3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3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3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3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3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3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3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3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3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3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3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3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3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3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3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3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3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3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3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3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3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3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3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3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3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3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3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3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3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3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3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3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3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3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3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3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3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3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3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3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3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3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3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3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3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3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3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3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3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3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3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3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3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3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3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3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3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3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3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3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3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3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3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3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3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3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3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3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3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3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3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3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3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3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3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3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3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3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3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3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3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3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3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3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3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3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3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3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3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3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3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3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3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3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3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3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3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3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3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3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3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3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3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3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3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3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3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3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3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3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3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3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3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3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3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3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3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3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3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3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3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3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3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3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3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3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3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3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3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3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3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3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3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3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3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3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3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3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3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3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3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3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3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3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3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3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3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3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3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3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3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3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3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3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3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3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3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3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3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3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3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3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3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3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3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3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3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3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3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3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3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3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3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3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3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3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3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3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3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3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3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3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3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3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3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3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3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3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3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3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3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3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3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3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3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3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3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3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3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3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3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3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3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3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3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3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3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3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3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3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3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3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3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3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3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3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3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3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3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3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3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3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3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3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3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3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3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3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3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3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3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3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3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3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3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3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3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3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3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3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3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3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3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3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3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3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3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3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3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3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3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3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3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3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3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3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3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3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3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3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3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3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3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3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3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3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3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3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3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3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3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3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3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3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3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3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3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3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3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3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3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3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3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3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3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3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3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3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3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3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3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3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3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3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3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3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3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3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3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3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3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3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3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3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3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3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3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3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3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3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3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3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3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3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3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3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3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3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3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3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3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3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3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3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3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3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3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3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3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3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3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3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3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3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3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3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3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3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3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3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3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3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3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3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3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3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3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3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3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3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3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3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3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3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3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3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3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3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3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3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3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3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3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3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3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3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3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3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3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3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3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3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3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3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3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3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3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3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3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3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3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3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3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3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3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3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3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3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3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3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3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3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3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3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3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3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35">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35">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35">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35">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35">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35">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35">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35">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35">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35">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35">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sheetData>
  <mergeCells count="20">
    <mergeCell ref="F16:F17"/>
    <mergeCell ref="G16:G17"/>
    <mergeCell ref="C16:C17"/>
    <mergeCell ref="B16:B17"/>
    <mergeCell ref="A16:A17"/>
    <mergeCell ref="D16:D17"/>
    <mergeCell ref="E16:E17"/>
    <mergeCell ref="T16:T17"/>
    <mergeCell ref="L16:L17"/>
    <mergeCell ref="H16:H17"/>
    <mergeCell ref="P16:P17"/>
    <mergeCell ref="S16:S17"/>
    <mergeCell ref="M16:M17"/>
    <mergeCell ref="N16:N17"/>
    <mergeCell ref="O16:O17"/>
    <mergeCell ref="I16:I17"/>
    <mergeCell ref="J16:J17"/>
    <mergeCell ref="K16:K17"/>
    <mergeCell ref="Q16:Q17"/>
    <mergeCell ref="R16:R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8" r:id="rId4" name="CommandButton3">
          <controlPr autoLine="0" r:id="rId5">
            <anchor moveWithCells="1">
              <from>
                <xdr:col>7</xdr:col>
                <xdr:colOff>336550</xdr:colOff>
                <xdr:row>9</xdr:row>
                <xdr:rowOff>12700</xdr:rowOff>
              </from>
              <to>
                <xdr:col>9</xdr:col>
                <xdr:colOff>1257300</xdr:colOff>
                <xdr:row>10</xdr:row>
                <xdr:rowOff>0</xdr:rowOff>
              </to>
            </anchor>
          </controlPr>
        </control>
      </mc:Choice>
      <mc:Fallback>
        <control shapeId="22538" r:id="rId4" name="CommandButton3"/>
      </mc:Fallback>
    </mc:AlternateContent>
    <mc:AlternateContent xmlns:mc="http://schemas.openxmlformats.org/markup-compatibility/2006">
      <mc:Choice Requires="x14">
        <control shapeId="22537" r:id="rId6" name="CommandButton2">
          <controlPr autoLine="0" r:id="rId7">
            <anchor moveWithCells="1">
              <from>
                <xdr:col>7</xdr:col>
                <xdr:colOff>336550</xdr:colOff>
                <xdr:row>7</xdr:row>
                <xdr:rowOff>12700</xdr:rowOff>
              </from>
              <to>
                <xdr:col>9</xdr:col>
                <xdr:colOff>1257300</xdr:colOff>
                <xdr:row>8</xdr:row>
                <xdr:rowOff>0</xdr:rowOff>
              </to>
            </anchor>
          </controlPr>
        </control>
      </mc:Choice>
      <mc:Fallback>
        <control shapeId="22537" r:id="rId6" name="CommandButton2"/>
      </mc:Fallback>
    </mc:AlternateContent>
    <mc:AlternateContent xmlns:mc="http://schemas.openxmlformats.org/markup-compatibility/2006">
      <mc:Choice Requires="x14">
        <control shapeId="22536" r:id="rId8" name="CommandButton8">
          <controlPr defaultSize="0" autoLine="0" r:id="rId9">
            <anchor moveWithCells="1">
              <from>
                <xdr:col>7</xdr:col>
                <xdr:colOff>342900</xdr:colOff>
                <xdr:row>2</xdr:row>
                <xdr:rowOff>0</xdr:rowOff>
              </from>
              <to>
                <xdr:col>9</xdr:col>
                <xdr:colOff>1257300</xdr:colOff>
                <xdr:row>3</xdr:row>
                <xdr:rowOff>31750</xdr:rowOff>
              </to>
            </anchor>
          </controlPr>
        </control>
      </mc:Choice>
      <mc:Fallback>
        <control shapeId="22536" r:id="rId8" name="CommandButton8"/>
      </mc:Fallback>
    </mc:AlternateContent>
    <mc:AlternateContent xmlns:mc="http://schemas.openxmlformats.org/markup-compatibility/2006">
      <mc:Choice Requires="x14">
        <control shapeId="22535" r:id="rId10" name="CommandButton7">
          <controlPr autoLine="0" autoPict="0" r:id="rId11">
            <anchor moveWithCells="1">
              <from>
                <xdr:col>7</xdr:col>
                <xdr:colOff>342900</xdr:colOff>
                <xdr:row>4</xdr:row>
                <xdr:rowOff>19050</xdr:rowOff>
              </from>
              <to>
                <xdr:col>9</xdr:col>
                <xdr:colOff>1295400</xdr:colOff>
                <xdr:row>5</xdr:row>
                <xdr:rowOff>19050</xdr:rowOff>
              </to>
            </anchor>
          </controlPr>
        </control>
      </mc:Choice>
      <mc:Fallback>
        <control shapeId="22535" r:id="rId10"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F16" sqref="F16"/>
    </sheetView>
  </sheetViews>
  <sheetFormatPr defaultRowHeight="14.5" x14ac:dyDescent="0.35"/>
  <cols>
    <col min="2" max="2" width="9.54296875" customWidth="1"/>
    <col min="3" max="3" width="11.54296875" style="3" customWidth="1"/>
    <col min="4" max="4" width="12.54296875" customWidth="1"/>
    <col min="5" max="5" width="22.81640625" customWidth="1"/>
    <col min="6" max="6" width="83.26953125" customWidth="1"/>
    <col min="10" max="10" width="18.54296875" bestFit="1" customWidth="1"/>
  </cols>
  <sheetData>
    <row r="5" spans="3:6" ht="21" x14ac:dyDescent="0.5">
      <c r="C5" s="1" t="s">
        <v>38</v>
      </c>
      <c r="D5" s="3"/>
    </row>
    <row r="6" spans="3:6" x14ac:dyDescent="0.35">
      <c r="D6" s="2"/>
    </row>
    <row r="7" spans="3:6" x14ac:dyDescent="0.35">
      <c r="D7" s="2"/>
    </row>
    <row r="8" spans="3:6" x14ac:dyDescent="0.35">
      <c r="D8" s="2"/>
    </row>
    <row r="9" spans="3:6" x14ac:dyDescent="0.35">
      <c r="D9" s="2"/>
    </row>
    <row r="10" spans="3:6" ht="15.5" x14ac:dyDescent="0.35">
      <c r="C10" s="4" t="s">
        <v>29</v>
      </c>
      <c r="D10" s="4" t="s">
        <v>3</v>
      </c>
      <c r="E10" s="4" t="s">
        <v>2</v>
      </c>
      <c r="F10" s="4" t="s">
        <v>4</v>
      </c>
    </row>
    <row r="11" spans="3:6" x14ac:dyDescent="0.35">
      <c r="C11" t="s">
        <v>32</v>
      </c>
      <c r="D11" s="3">
        <v>0</v>
      </c>
      <c r="E11" t="s">
        <v>23</v>
      </c>
      <c r="F11" t="s">
        <v>26</v>
      </c>
    </row>
    <row r="12" spans="3:6" x14ac:dyDescent="0.35">
      <c r="C12" t="s">
        <v>30</v>
      </c>
      <c r="D12" s="3">
        <v>1</v>
      </c>
      <c r="E12" t="s">
        <v>24</v>
      </c>
      <c r="F12" t="s">
        <v>27</v>
      </c>
    </row>
    <row r="13" spans="3:6" x14ac:dyDescent="0.35">
      <c r="C13" t="s">
        <v>31</v>
      </c>
      <c r="D13" s="3">
        <v>2</v>
      </c>
      <c r="E13" t="s">
        <v>25</v>
      </c>
      <c r="F13" t="s">
        <v>28</v>
      </c>
    </row>
    <row r="14" spans="3:6" x14ac:dyDescent="0.35">
      <c r="C14" t="s">
        <v>185</v>
      </c>
      <c r="D14" s="3">
        <v>3</v>
      </c>
      <c r="E14" t="s">
        <v>186</v>
      </c>
      <c r="F14" t="s">
        <v>187</v>
      </c>
    </row>
    <row r="15" spans="3:6" x14ac:dyDescent="0.35">
      <c r="C15" t="s">
        <v>183</v>
      </c>
      <c r="D15" s="3">
        <v>4</v>
      </c>
      <c r="E15" t="s">
        <v>184</v>
      </c>
      <c r="F15" t="s">
        <v>188</v>
      </c>
    </row>
    <row r="16" spans="3:6" x14ac:dyDescent="0.35">
      <c r="C16" t="s">
        <v>246</v>
      </c>
      <c r="D16" s="3">
        <v>5</v>
      </c>
      <c r="E16" t="s">
        <v>247</v>
      </c>
      <c r="F16" t="s">
        <v>248</v>
      </c>
    </row>
    <row r="17" spans="3:5" x14ac:dyDescent="0.35">
      <c r="C17" t="s">
        <v>239</v>
      </c>
      <c r="D17" s="3">
        <v>6</v>
      </c>
      <c r="E17" t="s">
        <v>87</v>
      </c>
    </row>
    <row r="18" spans="3:5" x14ac:dyDescent="0.35">
      <c r="C18" s="2"/>
      <c r="D18" s="3">
        <v>7</v>
      </c>
    </row>
    <row r="19" spans="3:5" x14ac:dyDescent="0.35">
      <c r="C19"/>
      <c r="D19" s="3">
        <v>8</v>
      </c>
    </row>
    <row r="20" spans="3:5" x14ac:dyDescent="0.35">
      <c r="C20"/>
      <c r="D20" s="3">
        <v>9</v>
      </c>
    </row>
    <row r="21" spans="3:5" x14ac:dyDescent="0.35">
      <c r="D21" s="3">
        <v>10</v>
      </c>
    </row>
    <row r="22" spans="3:5" x14ac:dyDescent="0.35">
      <c r="D22" s="3">
        <v>11</v>
      </c>
    </row>
    <row r="23" spans="3:5" x14ac:dyDescent="0.35">
      <c r="C23"/>
      <c r="D23" s="3">
        <v>12</v>
      </c>
    </row>
    <row r="24" spans="3:5" x14ac:dyDescent="0.35">
      <c r="C24" s="2"/>
      <c r="D24" s="3">
        <v>13</v>
      </c>
    </row>
    <row r="25" spans="3:5" x14ac:dyDescent="0.35">
      <c r="D25" s="3">
        <v>14</v>
      </c>
    </row>
    <row r="26" spans="3:5" x14ac:dyDescent="0.35">
      <c r="C26"/>
      <c r="D26" s="3">
        <v>15</v>
      </c>
    </row>
    <row r="27" spans="3:5" x14ac:dyDescent="0.35">
      <c r="C27"/>
      <c r="D27" s="3">
        <v>16</v>
      </c>
    </row>
    <row r="28" spans="3:5" x14ac:dyDescent="0.35">
      <c r="C28"/>
      <c r="D28" s="3">
        <v>17</v>
      </c>
    </row>
    <row r="29" spans="3:5" x14ac:dyDescent="0.35">
      <c r="C29"/>
      <c r="D29" s="3">
        <v>18</v>
      </c>
    </row>
    <row r="30" spans="3:5" x14ac:dyDescent="0.35">
      <c r="C30"/>
      <c r="D30" s="3">
        <v>19</v>
      </c>
    </row>
    <row r="31" spans="3:5" x14ac:dyDescent="0.35">
      <c r="C31"/>
      <c r="D31" s="3">
        <v>20</v>
      </c>
    </row>
    <row r="32" spans="3:5" x14ac:dyDescent="0.35">
      <c r="C32"/>
      <c r="D32" s="3">
        <v>21</v>
      </c>
    </row>
    <row r="33" spans="3:4" x14ac:dyDescent="0.35">
      <c r="C33"/>
      <c r="D33" s="3">
        <v>22</v>
      </c>
    </row>
    <row r="34" spans="3:4" x14ac:dyDescent="0.35">
      <c r="C34"/>
      <c r="D34" s="3">
        <v>23</v>
      </c>
    </row>
    <row r="35" spans="3:4" x14ac:dyDescent="0.35">
      <c r="C35"/>
      <c r="D35" s="3">
        <v>24</v>
      </c>
    </row>
    <row r="36" spans="3:4" x14ac:dyDescent="0.35">
      <c r="C36" s="2"/>
      <c r="D36" s="3">
        <v>25</v>
      </c>
    </row>
    <row r="37" spans="3:4" x14ac:dyDescent="0.35">
      <c r="C37"/>
      <c r="D37" s="3"/>
    </row>
    <row r="38" spans="3:4" x14ac:dyDescent="0.35">
      <c r="C38"/>
      <c r="D38" s="3"/>
    </row>
    <row r="39" spans="3:4" x14ac:dyDescent="0.35">
      <c r="C39"/>
      <c r="D39" s="3"/>
    </row>
    <row r="40" spans="3:4" x14ac:dyDescent="0.35">
      <c r="C40"/>
      <c r="D40" s="3"/>
    </row>
    <row r="41" spans="3:4" x14ac:dyDescent="0.35">
      <c r="C41"/>
      <c r="D41" s="3"/>
    </row>
    <row r="45" spans="3:4" ht="21" x14ac:dyDescent="0.5">
      <c r="C45" s="1" t="s">
        <v>53</v>
      </c>
      <c r="D45" s="3"/>
    </row>
    <row r="46" spans="3:4" x14ac:dyDescent="0.35">
      <c r="D46" s="2"/>
    </row>
    <row r="47" spans="3:4" x14ac:dyDescent="0.35">
      <c r="D47" s="2"/>
    </row>
    <row r="48" spans="3:4" x14ac:dyDescent="0.35">
      <c r="D48" s="2"/>
    </row>
    <row r="49" spans="3:6" x14ac:dyDescent="0.35">
      <c r="D49" s="2"/>
    </row>
    <row r="50" spans="3:6" ht="15.5" x14ac:dyDescent="0.35">
      <c r="C50" s="4" t="s">
        <v>29</v>
      </c>
      <c r="D50" s="4" t="s">
        <v>3</v>
      </c>
      <c r="E50" s="4" t="s">
        <v>2</v>
      </c>
      <c r="F50" s="4" t="s">
        <v>4</v>
      </c>
    </row>
    <row r="51" spans="3:6" x14ac:dyDescent="0.35">
      <c r="C51" t="s">
        <v>44</v>
      </c>
      <c r="D51" s="5">
        <v>0</v>
      </c>
      <c r="E51" t="s">
        <v>54</v>
      </c>
      <c r="F51" t="s">
        <v>90</v>
      </c>
    </row>
    <row r="52" spans="3:6" x14ac:dyDescent="0.35">
      <c r="C52" t="s">
        <v>48</v>
      </c>
      <c r="D52" s="5">
        <v>1</v>
      </c>
      <c r="E52" t="s">
        <v>55</v>
      </c>
      <c r="F52" t="s">
        <v>91</v>
      </c>
    </row>
    <row r="53" spans="3:6" x14ac:dyDescent="0.35">
      <c r="C53" t="s">
        <v>49</v>
      </c>
      <c r="D53" s="5">
        <v>2</v>
      </c>
      <c r="E53" t="s">
        <v>56</v>
      </c>
      <c r="F53" t="s">
        <v>98</v>
      </c>
    </row>
    <row r="54" spans="3:6" x14ac:dyDescent="0.35">
      <c r="C54" t="s">
        <v>116</v>
      </c>
      <c r="D54" s="5">
        <v>3</v>
      </c>
      <c r="E54" t="s">
        <v>57</v>
      </c>
      <c r="F54" t="s">
        <v>99</v>
      </c>
    </row>
    <row r="55" spans="3:6" x14ac:dyDescent="0.35">
      <c r="C55" t="s">
        <v>114</v>
      </c>
      <c r="D55" s="5">
        <v>5</v>
      </c>
      <c r="E55" t="s">
        <v>115</v>
      </c>
      <c r="F55" t="s">
        <v>120</v>
      </c>
    </row>
    <row r="56" spans="3:6" x14ac:dyDescent="0.35">
      <c r="C56"/>
      <c r="D56" s="7" t="s">
        <v>88</v>
      </c>
      <c r="E56" t="s">
        <v>89</v>
      </c>
      <c r="F56" t="s">
        <v>52</v>
      </c>
    </row>
    <row r="57" spans="3:6" x14ac:dyDescent="0.35">
      <c r="C57"/>
      <c r="D57" s="5"/>
    </row>
    <row r="58" spans="3:6" x14ac:dyDescent="0.35">
      <c r="C58"/>
      <c r="D58" s="5"/>
    </row>
    <row r="59" spans="3:6" x14ac:dyDescent="0.35">
      <c r="C59"/>
    </row>
    <row r="60" spans="3:6" x14ac:dyDescent="0.35">
      <c r="C60"/>
    </row>
    <row r="61" spans="3:6" x14ac:dyDescent="0.35">
      <c r="C61"/>
    </row>
    <row r="62" spans="3:6" x14ac:dyDescent="0.35">
      <c r="C62"/>
    </row>
    <row r="63" spans="3:6" ht="21" x14ac:dyDescent="0.5">
      <c r="C63" s="1" t="s">
        <v>58</v>
      </c>
      <c r="D63" s="3"/>
    </row>
    <row r="64" spans="3:6" x14ac:dyDescent="0.35">
      <c r="D64" s="2"/>
    </row>
    <row r="65" spans="3:6" x14ac:dyDescent="0.35">
      <c r="D65" s="2"/>
    </row>
    <row r="66" spans="3:6" x14ac:dyDescent="0.35">
      <c r="D66" s="2"/>
    </row>
    <row r="67" spans="3:6" x14ac:dyDescent="0.35">
      <c r="D67" s="2"/>
    </row>
    <row r="68" spans="3:6" ht="15.5" x14ac:dyDescent="0.35">
      <c r="C68" s="4" t="s">
        <v>29</v>
      </c>
      <c r="D68" s="4" t="s">
        <v>3</v>
      </c>
      <c r="E68" s="4" t="s">
        <v>2</v>
      </c>
      <c r="F68" s="4" t="s">
        <v>4</v>
      </c>
    </row>
    <row r="69" spans="3:6" x14ac:dyDescent="0.35">
      <c r="C69" t="s">
        <v>45</v>
      </c>
      <c r="D69" s="3">
        <v>0</v>
      </c>
      <c r="E69" t="s">
        <v>59</v>
      </c>
      <c r="F69" t="s">
        <v>92</v>
      </c>
    </row>
    <row r="70" spans="3:6" x14ac:dyDescent="0.35">
      <c r="C70" t="s">
        <v>51</v>
      </c>
      <c r="D70" s="3">
        <v>1</v>
      </c>
      <c r="E70" t="s">
        <v>60</v>
      </c>
      <c r="F70" t="s">
        <v>93</v>
      </c>
    </row>
    <row r="71" spans="3:6" x14ac:dyDescent="0.35">
      <c r="C71" t="s">
        <v>50</v>
      </c>
      <c r="D71" s="3">
        <v>2</v>
      </c>
      <c r="E71" t="s">
        <v>61</v>
      </c>
      <c r="F71" t="s">
        <v>94</v>
      </c>
    </row>
    <row r="72" spans="3:6" x14ac:dyDescent="0.35">
      <c r="C72" t="s">
        <v>47</v>
      </c>
      <c r="D72" s="3">
        <v>3</v>
      </c>
      <c r="E72" t="s">
        <v>62</v>
      </c>
      <c r="F72" t="s">
        <v>95</v>
      </c>
    </row>
    <row r="73" spans="3:6" x14ac:dyDescent="0.35">
      <c r="C73" t="s">
        <v>131</v>
      </c>
      <c r="D73" s="3">
        <v>3</v>
      </c>
      <c r="E73" t="s">
        <v>132</v>
      </c>
      <c r="F73" t="s">
        <v>133</v>
      </c>
    </row>
    <row r="74" spans="3:6" x14ac:dyDescent="0.35">
      <c r="C74"/>
      <c r="D74" s="6" t="s">
        <v>96</v>
      </c>
      <c r="E74" t="s">
        <v>89</v>
      </c>
      <c r="F74" t="s">
        <v>52</v>
      </c>
    </row>
    <row r="75" spans="3:6" x14ac:dyDescent="0.35">
      <c r="C75"/>
      <c r="D75" s="3"/>
    </row>
    <row r="76" spans="3:6" x14ac:dyDescent="0.35">
      <c r="C76"/>
      <c r="D76" s="3"/>
    </row>
    <row r="77" spans="3:6" x14ac:dyDescent="0.35">
      <c r="C77"/>
    </row>
    <row r="78" spans="3:6" x14ac:dyDescent="0.35">
      <c r="C78"/>
    </row>
    <row r="79" spans="3:6" x14ac:dyDescent="0.35">
      <c r="C79"/>
    </row>
    <row r="80" spans="3:6" x14ac:dyDescent="0.35">
      <c r="C80"/>
    </row>
    <row r="81" spans="3:6" ht="21" x14ac:dyDescent="0.5">
      <c r="C81" s="1"/>
      <c r="D81" s="3"/>
    </row>
    <row r="82" spans="3:6" x14ac:dyDescent="0.35">
      <c r="D82" s="2"/>
    </row>
    <row r="83" spans="3:6" x14ac:dyDescent="0.35">
      <c r="D83" s="2"/>
    </row>
    <row r="84" spans="3:6" x14ac:dyDescent="0.35">
      <c r="D84" s="2"/>
    </row>
    <row r="85" spans="3:6" x14ac:dyDescent="0.35">
      <c r="D85" s="2"/>
    </row>
    <row r="86" spans="3:6" ht="15.5" x14ac:dyDescent="0.35">
      <c r="C86" s="4"/>
      <c r="D86" s="4"/>
      <c r="E86" s="4"/>
      <c r="F86" s="4"/>
    </row>
    <row r="87" spans="3:6" x14ac:dyDescent="0.35">
      <c r="C87" s="5"/>
      <c r="D87" s="5"/>
    </row>
    <row r="88" spans="3:6" x14ac:dyDescent="0.35">
      <c r="C88" s="5"/>
      <c r="D88" s="5"/>
    </row>
    <row r="89" spans="3:6" x14ac:dyDescent="0.35">
      <c r="C89" s="5"/>
      <c r="D89" s="5"/>
    </row>
    <row r="90" spans="3:6" x14ac:dyDescent="0.35">
      <c r="C90" s="5"/>
      <c r="D90" s="5"/>
    </row>
    <row r="91" spans="3:6" x14ac:dyDescent="0.35">
      <c r="C91" s="5"/>
      <c r="D91" s="5"/>
    </row>
    <row r="92" spans="3:6" x14ac:dyDescent="0.35">
      <c r="C92" s="5"/>
      <c r="D92" s="5"/>
    </row>
    <row r="93" spans="3:6" x14ac:dyDescent="0.35">
      <c r="C93" s="5"/>
      <c r="D93" s="5"/>
    </row>
    <row r="94" spans="3:6" x14ac:dyDescent="0.35">
      <c r="C94" s="5"/>
      <c r="D94" s="5"/>
    </row>
    <row r="99" spans="3:6" ht="21" x14ac:dyDescent="0.5">
      <c r="C99" s="1" t="s">
        <v>69</v>
      </c>
      <c r="D99" s="3"/>
    </row>
    <row r="100" spans="3:6" x14ac:dyDescent="0.35">
      <c r="D100" s="2" t="s">
        <v>5</v>
      </c>
    </row>
    <row r="101" spans="3:6" x14ac:dyDescent="0.35">
      <c r="D101" s="2" t="s">
        <v>6</v>
      </c>
    </row>
    <row r="102" spans="3:6" x14ac:dyDescent="0.35">
      <c r="D102" s="2" t="s">
        <v>7</v>
      </c>
    </row>
    <row r="103" spans="3:6" x14ac:dyDescent="0.35">
      <c r="D103" s="2"/>
    </row>
    <row r="104" spans="3:6" ht="15.5" x14ac:dyDescent="0.35">
      <c r="C104" s="4" t="s">
        <v>29</v>
      </c>
      <c r="D104" s="4" t="s">
        <v>3</v>
      </c>
      <c r="E104" s="4" t="s">
        <v>2</v>
      </c>
      <c r="F104" s="4" t="s">
        <v>4</v>
      </c>
    </row>
    <row r="105" spans="3:6" x14ac:dyDescent="0.35">
      <c r="C105" s="5" t="s">
        <v>70</v>
      </c>
      <c r="D105" s="3">
        <v>0</v>
      </c>
      <c r="E105" t="s">
        <v>75</v>
      </c>
      <c r="F105" t="s">
        <v>76</v>
      </c>
    </row>
    <row r="106" spans="3:6" x14ac:dyDescent="0.35">
      <c r="C106" s="5" t="s">
        <v>86</v>
      </c>
      <c r="D106" s="3">
        <v>1</v>
      </c>
      <c r="E106" t="s">
        <v>77</v>
      </c>
      <c r="F106" t="s">
        <v>78</v>
      </c>
    </row>
    <row r="107" spans="3:6" x14ac:dyDescent="0.35">
      <c r="C107" s="5" t="s">
        <v>87</v>
      </c>
      <c r="D107" s="3">
        <v>2</v>
      </c>
      <c r="E107" t="s">
        <v>79</v>
      </c>
      <c r="F107" t="s">
        <v>97</v>
      </c>
    </row>
    <row r="108" spans="3:6" x14ac:dyDescent="0.35">
      <c r="C108" s="5" t="s">
        <v>23</v>
      </c>
      <c r="D108" s="3">
        <v>3</v>
      </c>
      <c r="E108" t="s">
        <v>68</v>
      </c>
      <c r="F108" t="s">
        <v>84</v>
      </c>
    </row>
    <row r="109" spans="3:6" x14ac:dyDescent="0.35">
      <c r="C109" s="5" t="s">
        <v>71</v>
      </c>
      <c r="D109" s="3">
        <v>4</v>
      </c>
      <c r="E109" t="s">
        <v>64</v>
      </c>
      <c r="F109" t="s">
        <v>80</v>
      </c>
    </row>
    <row r="110" spans="3:6" x14ac:dyDescent="0.35">
      <c r="C110" s="5" t="s">
        <v>72</v>
      </c>
      <c r="D110" s="3">
        <v>5</v>
      </c>
      <c r="E110" t="s">
        <v>65</v>
      </c>
      <c r="F110" t="s">
        <v>81</v>
      </c>
    </row>
    <row r="111" spans="3:6" x14ac:dyDescent="0.35">
      <c r="C111" s="5" t="s">
        <v>73</v>
      </c>
      <c r="D111" s="3">
        <v>6</v>
      </c>
      <c r="E111" t="s">
        <v>66</v>
      </c>
      <c r="F111" t="s">
        <v>82</v>
      </c>
    </row>
    <row r="112" spans="3:6" x14ac:dyDescent="0.35">
      <c r="C112" s="5" t="s">
        <v>74</v>
      </c>
      <c r="D112" s="3">
        <v>7</v>
      </c>
      <c r="E112" t="s">
        <v>67</v>
      </c>
      <c r="F112" t="s">
        <v>83</v>
      </c>
    </row>
    <row r="113" spans="3:6" x14ac:dyDescent="0.35">
      <c r="D113" s="6" t="s">
        <v>40</v>
      </c>
      <c r="E113" t="s">
        <v>85</v>
      </c>
      <c r="F113" t="s">
        <v>52</v>
      </c>
    </row>
    <row r="119" spans="3:6" ht="21" x14ac:dyDescent="0.5">
      <c r="C119" s="1" t="s">
        <v>103</v>
      </c>
    </row>
    <row r="124" spans="3:6" ht="15.5" x14ac:dyDescent="0.35">
      <c r="D124" s="4" t="s">
        <v>43</v>
      </c>
      <c r="E124" s="4" t="s">
        <v>102</v>
      </c>
      <c r="F124" s="4" t="s">
        <v>107</v>
      </c>
    </row>
    <row r="125" spans="3:6" x14ac:dyDescent="0.35">
      <c r="D125" s="3">
        <v>0</v>
      </c>
      <c r="E125" t="s">
        <v>70</v>
      </c>
      <c r="F125" t="s">
        <v>121</v>
      </c>
    </row>
    <row r="126" spans="3:6" x14ac:dyDescent="0.35">
      <c r="D126" s="3">
        <v>1</v>
      </c>
      <c r="E126" t="s">
        <v>87</v>
      </c>
      <c r="F126" t="s">
        <v>122</v>
      </c>
    </row>
    <row r="127" spans="3:6" x14ac:dyDescent="0.35">
      <c r="D127" s="3">
        <v>2</v>
      </c>
      <c r="E127" t="s">
        <v>104</v>
      </c>
      <c r="F127" t="s">
        <v>108</v>
      </c>
    </row>
    <row r="128" spans="3:6" x14ac:dyDescent="0.35">
      <c r="D128" s="3">
        <v>3</v>
      </c>
      <c r="E128" t="s">
        <v>104</v>
      </c>
      <c r="F128" t="s">
        <v>109</v>
      </c>
    </row>
    <row r="129" spans="3:6" x14ac:dyDescent="0.35">
      <c r="D129" s="3">
        <v>4</v>
      </c>
      <c r="E129" t="s">
        <v>105</v>
      </c>
      <c r="F129" t="s">
        <v>112</v>
      </c>
    </row>
    <row r="130" spans="3:6" x14ac:dyDescent="0.35">
      <c r="D130" s="3">
        <v>5</v>
      </c>
      <c r="E130" t="s">
        <v>105</v>
      </c>
      <c r="F130" t="s">
        <v>112</v>
      </c>
    </row>
    <row r="131" spans="3:6" x14ac:dyDescent="0.35">
      <c r="D131" s="3">
        <v>6</v>
      </c>
      <c r="E131" t="s">
        <v>106</v>
      </c>
      <c r="F131" t="s">
        <v>110</v>
      </c>
    </row>
    <row r="132" spans="3:6" x14ac:dyDescent="0.35">
      <c r="D132" s="3">
        <v>7</v>
      </c>
      <c r="E132" t="s">
        <v>106</v>
      </c>
      <c r="F132" t="s">
        <v>110</v>
      </c>
    </row>
    <row r="133" spans="3:6" x14ac:dyDescent="0.35">
      <c r="D133" s="3">
        <v>8</v>
      </c>
      <c r="E133" t="s">
        <v>41</v>
      </c>
      <c r="F133" t="s">
        <v>111</v>
      </c>
    </row>
    <row r="134" spans="3:6" x14ac:dyDescent="0.35">
      <c r="D134" s="3">
        <v>9</v>
      </c>
      <c r="E134" t="s">
        <v>41</v>
      </c>
      <c r="F134" t="s">
        <v>111</v>
      </c>
    </row>
    <row r="136" spans="3:6" x14ac:dyDescent="0.35">
      <c r="C136"/>
    </row>
    <row r="137" spans="3:6" x14ac:dyDescent="0.35">
      <c r="C137"/>
    </row>
    <row r="138" spans="3:6" x14ac:dyDescent="0.35">
      <c r="C138"/>
    </row>
    <row r="139" spans="3:6" x14ac:dyDescent="0.35">
      <c r="C139"/>
    </row>
    <row r="140" spans="3:6" x14ac:dyDescent="0.35">
      <c r="C140"/>
    </row>
    <row r="141" spans="3:6" x14ac:dyDescent="0.35">
      <c r="C141"/>
    </row>
    <row r="142" spans="3:6" x14ac:dyDescent="0.35">
      <c r="C142"/>
    </row>
    <row r="143" spans="3:6" x14ac:dyDescent="0.35">
      <c r="C143"/>
    </row>
    <row r="144" spans="3:6" x14ac:dyDescent="0.35">
      <c r="C144"/>
    </row>
    <row r="145" spans="3:3" x14ac:dyDescent="0.35">
      <c r="C145"/>
    </row>
    <row r="146" spans="3:3" x14ac:dyDescent="0.35">
      <c r="C146"/>
    </row>
    <row r="147" spans="3:3" x14ac:dyDescent="0.35">
      <c r="C147"/>
    </row>
    <row r="148" spans="3:3" x14ac:dyDescent="0.35">
      <c r="C148"/>
    </row>
    <row r="149" spans="3:3" x14ac:dyDescent="0.35">
      <c r="C149"/>
    </row>
    <row r="150" spans="3:3" x14ac:dyDescent="0.35">
      <c r="C150"/>
    </row>
    <row r="151" spans="3:3" x14ac:dyDescent="0.35">
      <c r="C151"/>
    </row>
    <row r="152" spans="3:3" x14ac:dyDescent="0.35">
      <c r="C152"/>
    </row>
    <row r="153" spans="3:3" x14ac:dyDescent="0.35">
      <c r="C153"/>
    </row>
    <row r="154" spans="3:3" x14ac:dyDescent="0.35">
      <c r="C154"/>
    </row>
    <row r="155" spans="3:3" x14ac:dyDescent="0.35">
      <c r="C155"/>
    </row>
    <row r="156" spans="3:3" x14ac:dyDescent="0.35">
      <c r="C156"/>
    </row>
    <row r="157" spans="3:3" x14ac:dyDescent="0.35">
      <c r="C157"/>
    </row>
    <row r="158" spans="3:3" x14ac:dyDescent="0.35">
      <c r="C158"/>
    </row>
    <row r="159" spans="3:3" x14ac:dyDescent="0.35">
      <c r="C159"/>
    </row>
    <row r="160" spans="3:3" x14ac:dyDescent="0.35">
      <c r="C160"/>
    </row>
    <row r="161" spans="3:3" x14ac:dyDescent="0.35">
      <c r="C161"/>
    </row>
    <row r="162" spans="3:3" x14ac:dyDescent="0.35">
      <c r="C162"/>
    </row>
    <row r="163" spans="3:3" x14ac:dyDescent="0.35">
      <c r="C163"/>
    </row>
    <row r="164" spans="3:3" x14ac:dyDescent="0.35">
      <c r="C164"/>
    </row>
    <row r="165" spans="3:3" x14ac:dyDescent="0.35">
      <c r="C165"/>
    </row>
    <row r="166" spans="3:3" x14ac:dyDescent="0.35">
      <c r="C166"/>
    </row>
    <row r="167" spans="3:3" x14ac:dyDescent="0.35">
      <c r="C167"/>
    </row>
    <row r="168" spans="3:3" x14ac:dyDescent="0.3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Roušal Štěpán</cp:lastModifiedBy>
  <dcterms:created xsi:type="dcterms:W3CDTF">2006-09-16T00:00:00Z</dcterms:created>
  <dcterms:modified xsi:type="dcterms:W3CDTF">2025-10-29T07:34:39Z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