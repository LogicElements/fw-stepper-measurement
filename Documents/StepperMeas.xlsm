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730" codeName="{80610A8E-5010-04F8-B4C4-4C4527662162}"/>
  <workbookPr codeName="ThisWorkbook" defaultThemeVersion="124226"/>
  <mc:AlternateContent xmlns:mc="http://schemas.openxmlformats.org/markup-compatibility/2006">
    <mc:Choice Requires="x15">
      <x15ac:absPath xmlns:x15ac="http://schemas.microsoft.com/office/spreadsheetml/2010/11/ac" url="C:\Users\rousa\Documents\jablotron\stepper_measurement\stepper_meas\Documents\"/>
    </mc:Choice>
  </mc:AlternateContent>
  <xr:revisionPtr revIDLastSave="0" documentId="13_ncr:1_{C9E8A8D6-178B-4C94-A683-041397CD4877}" xr6:coauthVersionLast="47" xr6:coauthVersionMax="47" xr10:uidLastSave="{00000000-0000-0000-0000-000000000000}"/>
  <bookViews>
    <workbookView xWindow="-10260" yWindow="-16320" windowWidth="29040" windowHeight="15720" xr2:uid="{00000000-000D-0000-FFFF-FFFF00000000}"/>
  </bookViews>
  <sheets>
    <sheet name="Registers" sheetId="25" r:id="rId1"/>
    <sheet name="Common" sheetId="16" r:id="rId2"/>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66" i="25" l="1"/>
  <c r="K66" i="25" s="1"/>
  <c r="I67" i="25" l="1"/>
  <c r="I68" i="25" s="1"/>
  <c r="I69" i="25" s="1"/>
  <c r="I70" i="25" s="1"/>
  <c r="I71" i="25" s="1"/>
  <c r="I72" i="25" s="1"/>
  <c r="I73" i="25" s="1"/>
  <c r="I74" i="25" s="1"/>
  <c r="I75" i="25" s="1"/>
  <c r="I76" i="25" s="1"/>
  <c r="I77" i="25" s="1"/>
  <c r="I81" i="25"/>
  <c r="K81" i="25"/>
  <c r="L70" i="25"/>
  <c r="F7" i="25"/>
  <c r="L66" i="25" l="1"/>
  <c r="L73" i="25"/>
  <c r="L74" i="25"/>
  <c r="L77" i="25"/>
  <c r="L76" i="25"/>
  <c r="L75" i="25"/>
  <c r="L81" i="25"/>
  <c r="L60" i="25"/>
  <c r="L59" i="25"/>
  <c r="L58" i="25"/>
  <c r="L57" i="25"/>
  <c r="L54" i="25"/>
  <c r="L50" i="25"/>
  <c r="L44" i="25"/>
  <c r="I44" i="25"/>
  <c r="I45" i="25" s="1"/>
  <c r="I46" i="25" s="1"/>
  <c r="I47" i="25" s="1"/>
  <c r="I48" i="25" s="1"/>
  <c r="I49" i="25" s="1"/>
  <c r="I50" i="25" s="1"/>
  <c r="I51" i="25" s="1"/>
  <c r="I52" i="25" s="1"/>
  <c r="I53" i="25" s="1"/>
  <c r="I54" i="25" s="1"/>
  <c r="I55" i="25" s="1"/>
  <c r="I56" i="25" s="1"/>
  <c r="I57" i="25" s="1"/>
  <c r="I58" i="25" s="1"/>
  <c r="I59" i="25" s="1"/>
  <c r="I60" i="25" s="1"/>
  <c r="K60" i="25" s="1"/>
  <c r="L29" i="25"/>
  <c r="F12" i="25"/>
  <c r="K67" i="25" l="1"/>
  <c r="K44" i="25"/>
  <c r="K56" i="25"/>
  <c r="K53" i="25"/>
  <c r="K49" i="25"/>
  <c r="K57" i="25"/>
  <c r="K48" i="25"/>
  <c r="K58" i="25"/>
  <c r="K50" i="25"/>
  <c r="K55" i="25"/>
  <c r="K47" i="25"/>
  <c r="K54" i="25"/>
  <c r="K46" i="25"/>
  <c r="K45" i="25"/>
  <c r="K52" i="25"/>
  <c r="K59" i="25"/>
  <c r="K51" i="25"/>
  <c r="L41" i="25"/>
  <c r="L40" i="25"/>
  <c r="L39" i="25"/>
  <c r="L38" i="25"/>
  <c r="L36" i="25"/>
  <c r="L35" i="25"/>
  <c r="L34" i="25"/>
  <c r="L33" i="25"/>
  <c r="L28" i="25"/>
  <c r="L27" i="25"/>
  <c r="L20" i="25"/>
  <c r="L19" i="25"/>
  <c r="L18" i="25"/>
  <c r="K38" i="25"/>
  <c r="K33" i="25"/>
  <c r="K68" i="25" l="1"/>
  <c r="I39" i="25"/>
  <c r="K69" i="25" l="1"/>
  <c r="I40" i="25"/>
  <c r="K39" i="25"/>
  <c r="K70" i="25" l="1"/>
  <c r="I41" i="25"/>
  <c r="K41" i="25" s="1"/>
  <c r="K40" i="25"/>
  <c r="K71" i="25" l="1"/>
  <c r="I18" i="25"/>
  <c r="K72" i="25" l="1"/>
  <c r="K18" i="25"/>
  <c r="I19" i="25"/>
  <c r="I20" i="25" s="1"/>
  <c r="I21" i="25" s="1"/>
  <c r="K73" i="25" l="1"/>
  <c r="I22" i="25"/>
  <c r="K21" i="25"/>
  <c r="K19" i="25"/>
  <c r="I34" i="25"/>
  <c r="K34" i="25" s="1"/>
  <c r="K74" i="25" l="1"/>
  <c r="I23" i="25"/>
  <c r="K22" i="25"/>
  <c r="K20" i="25"/>
  <c r="I35" i="25"/>
  <c r="K75" i="25" l="1"/>
  <c r="K23" i="25"/>
  <c r="I24" i="25"/>
  <c r="K24" i="25" s="1"/>
  <c r="I25" i="25"/>
  <c r="I36" i="25"/>
  <c r="K36" i="25" s="1"/>
  <c r="K35" i="25"/>
  <c r="K77" i="25" l="1"/>
  <c r="K76" i="25"/>
  <c r="I26" i="25"/>
  <c r="K25" i="25"/>
  <c r="I27" i="25" l="1"/>
  <c r="K26" i="25"/>
  <c r="I28" i="25" l="1"/>
  <c r="K27" i="25"/>
  <c r="I29" i="25" l="1"/>
  <c r="K29" i="25" s="1"/>
  <c r="K28" i="25"/>
</calcChain>
</file>

<file path=xl/sharedStrings.xml><?xml version="1.0" encoding="utf-8"?>
<sst xmlns="http://schemas.openxmlformats.org/spreadsheetml/2006/main" count="449" uniqueCount="296">
  <si>
    <t>Address</t>
  </si>
  <si>
    <t xml:space="preserve"> </t>
  </si>
  <si>
    <t>Name</t>
  </si>
  <si>
    <t>Code</t>
  </si>
  <si>
    <t>Description</t>
  </si>
  <si>
    <t>C define</t>
  </si>
  <si>
    <t>C# enum</t>
  </si>
  <si>
    <t>C enum</t>
  </si>
  <si>
    <t>Block</t>
  </si>
  <si>
    <t>SERIAL_NUMBER</t>
  </si>
  <si>
    <t>Block Code</t>
  </si>
  <si>
    <t>Access Code</t>
  </si>
  <si>
    <t>ASSEMBLY_INFO</t>
  </si>
  <si>
    <t>Max length</t>
  </si>
  <si>
    <t>Factory
value</t>
  </si>
  <si>
    <t>HW_REVISION</t>
  </si>
  <si>
    <t>ID [hex]</t>
  </si>
  <si>
    <t>C storage</t>
  </si>
  <si>
    <t>Config storage</t>
  </si>
  <si>
    <t>Config C prefix</t>
  </si>
  <si>
    <t>CONF_</t>
  </si>
  <si>
    <t>C factory vals</t>
  </si>
  <si>
    <t>DEVICE_ID</t>
  </si>
  <si>
    <t>SYSTEM</t>
  </si>
  <si>
    <t>FACTORY_BTL</t>
  </si>
  <si>
    <t>FIRMWARE_APP</t>
  </si>
  <si>
    <t>System MCU features, small BSP, RTOS etc.</t>
  </si>
  <si>
    <t>Device and bootloader information hardcoded from factory (Flash - read only)</t>
  </si>
  <si>
    <t>Firmware information hardcoded at firmware update (Flash - read only)</t>
  </si>
  <si>
    <t>Abbrev.</t>
  </si>
  <si>
    <t>FACT</t>
  </si>
  <si>
    <t>FIRM</t>
  </si>
  <si>
    <t>SYS</t>
  </si>
  <si>
    <t>Name source</t>
  </si>
  <si>
    <t>BOOT_REVISION</t>
  </si>
  <si>
    <t>REVISION</t>
  </si>
  <si>
    <t>APP_CHECKSUM</t>
  </si>
  <si>
    <t>APP_SIZE</t>
  </si>
  <si>
    <t>Block ID</t>
  </si>
  <si>
    <t>Data Type</t>
  </si>
  <si>
    <t>8-15</t>
  </si>
  <si>
    <t>ERROR</t>
  </si>
  <si>
    <t>CRC checksum of the current application</t>
  </si>
  <si>
    <t>Severity</t>
  </si>
  <si>
    <t>BIN</t>
  </si>
  <si>
    <t>RO</t>
  </si>
  <si>
    <t>REGMAP_VERSION</t>
  </si>
  <si>
    <t>RWF</t>
  </si>
  <si>
    <t>INT</t>
  </si>
  <si>
    <t>FLOAT</t>
  </si>
  <si>
    <t>RW</t>
  </si>
  <si>
    <t>ROF</t>
  </si>
  <si>
    <t>Reserved for future use</t>
  </si>
  <si>
    <t>Data Type ID</t>
  </si>
  <si>
    <t>Binary</t>
  </si>
  <si>
    <t>Integer</t>
  </si>
  <si>
    <t>Floating point</t>
  </si>
  <si>
    <t>String</t>
  </si>
  <si>
    <t>Access Type ID</t>
  </si>
  <si>
    <t>Read-only</t>
  </si>
  <si>
    <t>Flash-stored read-only</t>
  </si>
  <si>
    <t>Read-write</t>
  </si>
  <si>
    <t>Read-write-flash</t>
  </si>
  <si>
    <t>Protocol Version</t>
  </si>
  <si>
    <t>Service only - low prio</t>
  </si>
  <si>
    <t>Service only - high prio</t>
  </si>
  <si>
    <t>User-visible - low prio</t>
  </si>
  <si>
    <t>User-visible - high prio</t>
  </si>
  <si>
    <t>System high prio</t>
  </si>
  <si>
    <t>Severity level</t>
  </si>
  <si>
    <t>INTER</t>
  </si>
  <si>
    <t>SER_LOW</t>
  </si>
  <si>
    <t>SER_HI</t>
  </si>
  <si>
    <t>USER_LOW</t>
  </si>
  <si>
    <t>USER_HI</t>
  </si>
  <si>
    <t>Internal event</t>
  </si>
  <si>
    <t>Internal use only - not sent outside of board at all</t>
  </si>
  <si>
    <t xml:space="preserve">Debug local </t>
  </si>
  <si>
    <t>Sent to local debug port only, not to cloud.</t>
  </si>
  <si>
    <t>Debug cloud</t>
  </si>
  <si>
    <t>Sent to cloud, serviceman only, lower priority</t>
  </si>
  <si>
    <t>Sent to cloud, serviceman only, higher priority</t>
  </si>
  <si>
    <t>Sent to cloud, end-user visible, lower priority</t>
  </si>
  <si>
    <t>Sent to cloud, end-user visible, higher priority</t>
  </si>
  <si>
    <t>System high-priority error/event ()</t>
  </si>
  <si>
    <t xml:space="preserve">Reserved </t>
  </si>
  <si>
    <t>LOCAL</t>
  </si>
  <si>
    <t>DEBUG</t>
  </si>
  <si>
    <t>5-7</t>
  </si>
  <si>
    <t>Reserved</t>
  </si>
  <si>
    <t>Binary representation is beneficial - display in hexadecimal</t>
  </si>
  <si>
    <t>Integer decimal number</t>
  </si>
  <si>
    <t>Cloud can only read variable from device</t>
  </si>
  <si>
    <t>Cloud can only read variable from device, variable is non-volatile.</t>
  </si>
  <si>
    <t>Read/write access is possible</t>
  </si>
  <si>
    <t>Read/write access is possible, variable is non-volatile</t>
  </si>
  <si>
    <t>4-7</t>
  </si>
  <si>
    <t>Sent to the cloud for debug purposes, not intended to be shown to user / serviceman.</t>
  </si>
  <si>
    <t>Floating-point single-precision number</t>
  </si>
  <si>
    <t>ASCII String terminated with null character</t>
  </si>
  <si>
    <t>C# JSON</t>
  </si>
  <si>
    <t>Invalid</t>
  </si>
  <si>
    <t>Class</t>
  </si>
  <si>
    <t>Severity to Class</t>
  </si>
  <si>
    <t>NOTICE</t>
  </si>
  <si>
    <t>SETTING</t>
  </si>
  <si>
    <t>WARNING</t>
  </si>
  <si>
    <t>Decription</t>
  </si>
  <si>
    <t>Notice - informace, nizka priorita</t>
  </si>
  <si>
    <t>Notice - informace, vysoka priorita</t>
  </si>
  <si>
    <t>Varovani - chyba, ktera neblokuje funkci</t>
  </si>
  <si>
    <t>Blokacni chyba</t>
  </si>
  <si>
    <t xml:space="preserve">Nastaveni </t>
  </si>
  <si>
    <t>CONF_REG</t>
  </si>
  <si>
    <t>ENUM</t>
  </si>
  <si>
    <t>Enumeration</t>
  </si>
  <si>
    <t>STRING</t>
  </si>
  <si>
    <t>RegMap destination</t>
  </si>
  <si>
    <t>Minimal value</t>
  </si>
  <si>
    <t>Maximal value</t>
  </si>
  <si>
    <t>List of valid values, just one can be selected.</t>
  </si>
  <si>
    <t>Interni udalost, ven se vubec nedostane</t>
  </si>
  <si>
    <t>Debug informace, pro uzivatele nezajimava, nesrozumitelna</t>
  </si>
  <si>
    <t>Units</t>
  </si>
  <si>
    <t>s</t>
  </si>
  <si>
    <t>Serial number of product with common device ID in format xxyyzzzz.
Xx - year of production
Yy - month of production
zzzz - serial incremental number of the product</t>
  </si>
  <si>
    <t>Firmware revision of the bootloader as number xxxyyy:
xxx - major version of bootloader
yyy - minor version of bootloader</t>
  </si>
  <si>
    <t>Firmware revision of the current application image as an incremental number. See list of FW revision or release notes for respective features.</t>
  </si>
  <si>
    <t>Assembly information of the current application in format xxxxyyzz:
xxxx - year of FW build
yy - month of FW build
zz - day of FW build</t>
  </si>
  <si>
    <t>Firmware size of the current application in bytes</t>
  </si>
  <si>
    <t>Version of register map in format xxxyyy.
Xxx - major version of register map.
Yyy - minor version of register map.
Major version defines compatibility of different register maps. If major version of register map changes, the values previously stored in the flash memory are discarded and factory values are used</t>
  </si>
  <si>
    <t>RWIF</t>
  </si>
  <si>
    <t>Read-write-internal-flash</t>
  </si>
  <si>
    <t>Read/write access is possible, variable is stored in internal flash</t>
  </si>
  <si>
    <t>Label</t>
  </si>
  <si>
    <t>Serial number</t>
  </si>
  <si>
    <t>Product number</t>
  </si>
  <si>
    <t>Hardware version</t>
  </si>
  <si>
    <t>Bootloader version</t>
  </si>
  <si>
    <t>Assembly date</t>
  </si>
  <si>
    <t>CRC checksum</t>
  </si>
  <si>
    <t>Firmware size</t>
  </si>
  <si>
    <t>Register map version</t>
  </si>
  <si>
    <t>Prefix of output files</t>
  </si>
  <si>
    <t>C register map</t>
  </si>
  <si>
    <t>Modbus JSON</t>
  </si>
  <si>
    <t>TEST</t>
  </si>
  <si>
    <t>Testing register</t>
  </si>
  <si>
    <t>Modbus destination</t>
  </si>
  <si>
    <t>Modbus special</t>
  </si>
  <si>
    <t>STATUS</t>
  </si>
  <si>
    <t>Scripts version</t>
  </si>
  <si>
    <t>Status register</t>
  </si>
  <si>
    <t>Tests destination</t>
  </si>
  <si>
    <t>LeBin JSON</t>
  </si>
  <si>
    <t>Application destination</t>
  </si>
  <si>
    <t>Binary map of different status flags</t>
  </si>
  <si>
    <t>STAT_BIT_ERROR</t>
  </si>
  <si>
    <t>Generic error</t>
  </si>
  <si>
    <t>STAT_BIT_CONFIG_FLASH</t>
  </si>
  <si>
    <t>Configuration flash error</t>
  </si>
  <si>
    <t>Error when working with configuration memory</t>
  </si>
  <si>
    <t>STAT_BIT_TESTING</t>
  </si>
  <si>
    <t>Testing mode</t>
  </si>
  <si>
    <t>Testing mode is enabled</t>
  </si>
  <si>
    <t>COMMAND</t>
  </si>
  <si>
    <t>Command</t>
  </si>
  <si>
    <t>Uptime</t>
  </si>
  <si>
    <t>Elapsed seconds from device startup</t>
  </si>
  <si>
    <t>Error in the device</t>
  </si>
  <si>
    <t>UPTIME</t>
  </si>
  <si>
    <t>Hardware revision of the device defined as xxxyyy:
xxx - major revision (letter)
yyy - minor revision (number)</t>
  </si>
  <si>
    <t>STAT_BIT_CALIBRATION</t>
  </si>
  <si>
    <t>Calibrated successfully</t>
  </si>
  <si>
    <t>Calibration data read successfully</t>
  </si>
  <si>
    <t>Firmware revision</t>
  </si>
  <si>
    <t>Generic system testing register</t>
  </si>
  <si>
    <t>Unique device ID</t>
  </si>
  <si>
    <t>Following commands are supported:
Value 9901 - Reset
Value 8801 - Factory reset
Value 7701 - Testing mode
Value 66xx - Invoke error
Value 5501 - Invoke watchdog reset</t>
  </si>
  <si>
    <t>STAT_BIT_WATCHDOG</t>
  </si>
  <si>
    <t>Reset by IWDG</t>
  </si>
  <si>
    <t>Last reset was caused by Independent watchdog</t>
  </si>
  <si>
    <t>D:\work\gitlab\fw-prec-rtd-sim\Documents\txts\PrecRtdSim_Registers.json</t>
  </si>
  <si>
    <t>CALIB</t>
  </si>
  <si>
    <t>CALIBRATION</t>
  </si>
  <si>
    <t>COM</t>
  </si>
  <si>
    <t>COMMUNICATION</t>
  </si>
  <si>
    <t>Modbus communication parameters</t>
  </si>
  <si>
    <t>Calibration data and handling</t>
  </si>
  <si>
    <t>RTD</t>
  </si>
  <si>
    <t>RTD_SIMULATOR</t>
  </si>
  <si>
    <t>RTD simulation registers</t>
  </si>
  <si>
    <t>STAT_BIT_MB_TIMEOUT</t>
  </si>
  <si>
    <t>Modbus timeout</t>
  </si>
  <si>
    <t>No modbus communication for timeout period</t>
  </si>
  <si>
    <t>IO_INPUT</t>
  </si>
  <si>
    <t>Input signals</t>
  </si>
  <si>
    <t>0x3FF</t>
  </si>
  <si>
    <t>Set of input signals. 
Bits 0-4 - Modbus address offset
Bits 5-8 - Bootstrap
Bit 9 - Pushbutton</t>
  </si>
  <si>
    <t>MB_BAUD_RATE</t>
  </si>
  <si>
    <t>Modbus baud rate</t>
  </si>
  <si>
    <t>Modbus RTU serial port baud rate</t>
  </si>
  <si>
    <t>MB_BAUD_9600</t>
  </si>
  <si>
    <t>9600 baud/s</t>
  </si>
  <si>
    <t>MB_BAUD_19200</t>
  </si>
  <si>
    <t>19200 baud/s</t>
  </si>
  <si>
    <t>MB_BAUD_38400</t>
  </si>
  <si>
    <t>38400 baud/s</t>
  </si>
  <si>
    <t>MB_BAUD_57600</t>
  </si>
  <si>
    <t>57600 baud/s</t>
  </si>
  <si>
    <t>MB_BAUD_115200</t>
  </si>
  <si>
    <t>115200 baud/s</t>
  </si>
  <si>
    <t>MB_PARITY</t>
  </si>
  <si>
    <t>Modbus parity</t>
  </si>
  <si>
    <t>Modbus RTU serial port parity</t>
  </si>
  <si>
    <t>MB_PARITY_NONE</t>
  </si>
  <si>
    <t>NONE</t>
  </si>
  <si>
    <t>NONE parity</t>
  </si>
  <si>
    <t>MB_PARITY_EVEN</t>
  </si>
  <si>
    <t>EVEN</t>
  </si>
  <si>
    <t>EVEN parity</t>
  </si>
  <si>
    <t>MB_PARITY_ODD</t>
  </si>
  <si>
    <t>ODD</t>
  </si>
  <si>
    <t>ODD parity</t>
  </si>
  <si>
    <t>MB_STOP_BITS</t>
  </si>
  <si>
    <t>Modbus stop bits</t>
  </si>
  <si>
    <t>Modbus RTU serial port - number of stop bits</t>
  </si>
  <si>
    <t>MB_STOP_1</t>
  </si>
  <si>
    <t>1 stop bit</t>
  </si>
  <si>
    <t>MB_STOP_2</t>
  </si>
  <si>
    <t>2 stop bits</t>
  </si>
  <si>
    <t>RESERVED</t>
  </si>
  <si>
    <t>x</t>
  </si>
  <si>
    <t>MB_ADDRESS</t>
  </si>
  <si>
    <t>Modbus slave address</t>
  </si>
  <si>
    <t>Modbus RTU serial port slave address</t>
  </si>
  <si>
    <t>MB_APPLY</t>
  </si>
  <si>
    <t>Apply modbus parameters</t>
  </si>
  <si>
    <t>Apply new modbus communication parameters.
Value 1 - Apply new settings</t>
  </si>
  <si>
    <t>MB_TIMEOUT</t>
  </si>
  <si>
    <t>Longer silent period implies connection lost.
Zero value disables timeout indication.</t>
  </si>
  <si>
    <t>WRITES_CONF</t>
  </si>
  <si>
    <t>DBG</t>
  </si>
  <si>
    <t>Configuration writes</t>
  </si>
  <si>
    <t>writes</t>
  </si>
  <si>
    <t>Number of writes into internal configuration flash memory (size 4kB, entry 128 B, total endurance 10000 * 4096 / 128 = 320000)</t>
  </si>
  <si>
    <t>MODE</t>
  </si>
  <si>
    <t>°C</t>
  </si>
  <si>
    <t>F32</t>
  </si>
  <si>
    <t>Ohm</t>
  </si>
  <si>
    <t>NTC_BETA</t>
  </si>
  <si>
    <t>NTC beta</t>
  </si>
  <si>
    <t>NTC beta coefficient for computation</t>
  </si>
  <si>
    <t>NTC_STOCK_RES</t>
  </si>
  <si>
    <t>NTC stock resistance</t>
  </si>
  <si>
    <t>NTC stock resistance at 25 °C (10000 for common 10k NTC)</t>
  </si>
  <si>
    <t>PT_STOCK_RES</t>
  </si>
  <si>
    <t>Platinum stock resistance</t>
  </si>
  <si>
    <t>Platinum stock resistance at 0 °C
Value 100 - PT100
Value 500 - PT500
Value 1000 - PT1000</t>
  </si>
  <si>
    <t>Resistance that should be set at RTD port 1</t>
  </si>
  <si>
    <t>Set temperature for RTD port 1</t>
  </si>
  <si>
    <t>Emulation mode</t>
  </si>
  <si>
    <t>HA 100</t>
  </si>
  <si>
    <t>Mode of RTD emulation. Selected mode is common for all 4 channels</t>
  </si>
  <si>
    <t>Direct resistance</t>
  </si>
  <si>
    <t>Set resistance is directly applied to RTD ports</t>
  </si>
  <si>
    <t>NTC thermistor</t>
  </si>
  <si>
    <t>Set temperature is used for NTC resistance computation</t>
  </si>
  <si>
    <t>Platinum RTD</t>
  </si>
  <si>
    <t>Set temperature is used for PT1000 resistance computation</t>
  </si>
  <si>
    <t>RESISTANCE</t>
  </si>
  <si>
    <t>TEMPERATURE</t>
  </si>
  <si>
    <t>Set resistance</t>
  </si>
  <si>
    <t>Temperature</t>
  </si>
  <si>
    <t>RTD_MD_RESISTANCE</t>
  </si>
  <si>
    <t>RTD_MD_NTC</t>
  </si>
  <si>
    <t>RTD_MD_PLATINUM</t>
  </si>
  <si>
    <t>C:\Users\evzen\OneDrive\Dokumenty\RTD_repo\Documents\txts\PrecRtdSim_Define.txt</t>
  </si>
  <si>
    <t>C:\Users\evzen\OneDrive\Dokumenty\RTD_repo\Documents\txts\PrecRtdSim_Storage.txt</t>
  </si>
  <si>
    <t>C:\Users\evzen\OneDrive\Dokumenty\RTD_repo\Documents\txts\PrecRtdSim_Factory.txt</t>
  </si>
  <si>
    <t>C:\Users\evzen\OneDrive\Dokumenty\RTD_repo\Documents\txts\reg_map.c</t>
  </si>
  <si>
    <t>C:\Users\evzen\OneDrive\Dokumenty\RTD_repo\Documents\txts\PrecRtdSim_Modbus.json</t>
  </si>
  <si>
    <t>C:\Users\evzen\OneDrive\Dokumenty\RTD_repo\Documents\txts\PrecRtdSimRegs.py</t>
  </si>
  <si>
    <t>C:\Users\evzen\OneDrive\Dokumenty\RTD_repo\Documents\txts\PrecRtdSim_registers.json</t>
  </si>
  <si>
    <t>C:\Users\evzen\OneDrive\Dokumenty\RTD_repo\Tests\prec-rtd-sim\</t>
  </si>
  <si>
    <t>TEMP_CALIB</t>
  </si>
  <si>
    <t>Temperature calibration</t>
  </si>
  <si>
    <t>RTD_CALIB_ON</t>
  </si>
  <si>
    <t>RTD_CALIB_OFF</t>
  </si>
  <si>
    <t>Calibration off</t>
  </si>
  <si>
    <t>Calibration on</t>
  </si>
  <si>
    <t>Temperature calibration mode - recalculates decade resistance values ​​based on current temperature</t>
  </si>
  <si>
    <t>Calculate switch positions of resistors decade without temperature correction</t>
  </si>
  <si>
    <t>Calculate switch positions of resistors decade with temperature correction</t>
  </si>
  <si>
    <t>C:\Users\rousa\Documents\jablotron\stepper_measurement\stepper_meas\Firmware\Core\Serial\</t>
  </si>
  <si>
    <t>C:\Users\rousa\Documents\jablotron\stepper_measurement\stepper_meas\Firmware\Core\Common\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</si>
</sst>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8" x14ac:knownFonts="1">
    <font>
      <sz val="11"/>
      <color theme="1"/>
      <name val="Calibri"/>
      <family val="2"/>
      <scheme val="minor"/>
    </font>
    <font>
      <b/>
      <sz val="16"/>
      <color theme="1"/>
      <name val="Calibri"/>
      <family val="2"/>
      <charset val="238"/>
      <scheme val="minor"/>
    </font>
    <font>
      <b/>
      <sz val="12"/>
      <color theme="0"/>
      <name val="Calibri"/>
      <family val="2"/>
      <charset val="238"/>
      <scheme val="minor"/>
    </font>
    <font>
      <sz val="11"/>
      <color theme="1"/>
      <name val="Calibri"/>
      <family val="2"/>
      <scheme val="minor"/>
    </font>
    <font>
      <sz val="12"/>
      <color theme="1"/>
      <name val="Calibri"/>
      <family val="2"/>
      <scheme val="minor"/>
    </font>
    <font>
      <sz val="11"/>
      <color theme="1"/>
      <name val="Calibri"/>
      <family val="2"/>
      <scheme val="minor"/>
    </font>
    <font>
      <b/>
      <sz val="12"/>
      <color theme="0"/>
      <name val="Calibri"/>
      <family val="2"/>
      <charset val="238"/>
      <scheme val="minor"/>
    </font>
    <font>
      <sz val="8"/>
      <name val="Calibri"/>
      <family val="2"/>
      <scheme val="minor"/>
    </font>
  </fonts>
  <fills count="3">
    <fill>
      <patternFill patternType="none"/>
    </fill>
    <fill>
      <patternFill patternType="gray125"/>
    </fill>
    <fill>
      <patternFill patternType="solid">
        <fgColor theme="1"/>
        <bgColor indexed="64"/>
      </patternFill>
    </fill>
  </fills>
  <borders count="4">
    <border>
      <left/>
      <right/>
      <top/>
      <bottom/>
      <diagonal/>
    </border>
    <border>
      <left style="thin">
        <color auto="1"/>
      </left>
      <right style="thin">
        <color auto="1"/>
      </right>
      <top style="thin">
        <color auto="1"/>
      </top>
      <bottom style="thin">
        <color auto="1"/>
      </bottom>
      <diagonal/>
    </border>
    <border>
      <left/>
      <right/>
      <top style="thin">
        <color auto="1"/>
      </top>
      <bottom/>
      <diagonal/>
    </border>
    <border>
      <left/>
      <right/>
      <top/>
      <bottom style="thin">
        <color auto="1"/>
      </bottom>
      <diagonal/>
    </border>
  </borders>
  <cellStyleXfs count="1">
    <xf numFmtId="0" fontId="0" fillId="0" borderId="0"/>
  </cellStyleXfs>
  <cellXfs count="58">
    <xf numFmtId="0" fontId="0" fillId="0" borderId="0" xfId="0"/>
    <xf numFmtId="0" fontId="1" fillId="0" borderId="0" xfId="0" applyFont="1"/>
    <xf numFmtId="0" fontId="0" fillId="0" borderId="0" xfId="0" applyAlignment="1">
      <alignment horizontal="left"/>
    </xf>
    <xf numFmtId="0" fontId="0" fillId="0" borderId="0" xfId="0" applyAlignment="1">
      <alignment horizontal="center"/>
    </xf>
    <xf numFmtId="0" fontId="2" fillId="2" borderId="1" xfId="0" applyFont="1" applyFill="1" applyBorder="1" applyAlignment="1">
      <alignment horizontal="center" vertical="center"/>
    </xf>
    <xf numFmtId="0" fontId="0" fillId="0" borderId="0" xfId="0" applyAlignment="1">
      <alignment horizontal="center" vertical="center"/>
    </xf>
    <xf numFmtId="0" fontId="0" fillId="0" borderId="0" xfId="0" quotePrefix="1" applyAlignment="1">
      <alignment horizontal="center"/>
    </xf>
    <xf numFmtId="16" fontId="0" fillId="0" borderId="0" xfId="0" quotePrefix="1" applyNumberFormat="1" applyAlignment="1">
      <alignment horizontal="center" vertical="center"/>
    </xf>
    <xf numFmtId="0" fontId="4" fillId="0" borderId="0" xfId="0" applyFont="1" applyAlignment="1">
      <alignment horizontal="left"/>
    </xf>
    <xf numFmtId="0" fontId="4" fillId="0" borderId="0" xfId="0" applyFont="1" applyAlignment="1">
      <alignment horizontal="center"/>
    </xf>
    <xf numFmtId="0" fontId="5" fillId="0" borderId="0" xfId="0" applyFont="1" applyAlignment="1">
      <alignment horizontal="center"/>
    </xf>
    <xf numFmtId="0" fontId="5" fillId="0" borderId="0" xfId="0" applyFont="1" applyAlignment="1">
      <alignment horizontal="left"/>
    </xf>
    <xf numFmtId="0" fontId="5" fillId="0" borderId="0" xfId="0" applyFont="1"/>
    <xf numFmtId="0" fontId="5" fillId="0" borderId="0" xfId="0" applyFont="1" applyAlignment="1">
      <alignment vertical="center"/>
    </xf>
    <xf numFmtId="0" fontId="5" fillId="0" borderId="0" xfId="0" applyFont="1" applyAlignment="1">
      <alignment horizontal="center" vertical="center"/>
    </xf>
    <xf numFmtId="0" fontId="5" fillId="0" borderId="0" xfId="0" applyFont="1" applyAlignment="1">
      <alignment vertical="center" wrapText="1"/>
    </xf>
    <xf numFmtId="0" fontId="5" fillId="0" borderId="2" xfId="0" applyFont="1" applyBorder="1" applyAlignment="1">
      <alignment vertical="center"/>
    </xf>
    <xf numFmtId="0" fontId="5" fillId="0" borderId="0" xfId="0" applyFont="1" applyAlignment="1">
      <alignment horizontal="center" vertical="center" wrapText="1"/>
    </xf>
    <xf numFmtId="0" fontId="0" fillId="0" borderId="0" xfId="0" applyAlignment="1">
      <alignment horizontal="center" vertical="center" wrapText="1"/>
    </xf>
    <xf numFmtId="0" fontId="5" fillId="0" borderId="0" xfId="0" applyFont="1" applyAlignment="1">
      <alignment vertical="top"/>
    </xf>
    <xf numFmtId="0" fontId="5" fillId="0" borderId="0" xfId="0" applyFont="1" applyAlignment="1">
      <alignment horizontal="left" vertical="top"/>
    </xf>
    <xf numFmtId="0" fontId="0" fillId="0" borderId="0" xfId="0" applyAlignment="1">
      <alignment horizontal="left" vertical="top"/>
    </xf>
    <xf numFmtId="0" fontId="5" fillId="0" borderId="0" xfId="0" applyFont="1" applyAlignment="1">
      <alignment horizontal="center" vertical="top"/>
    </xf>
    <xf numFmtId="0" fontId="0" fillId="0" borderId="0" xfId="0" applyAlignment="1">
      <alignment horizontal="center" vertical="top"/>
    </xf>
    <xf numFmtId="0" fontId="0" fillId="0" borderId="0" xfId="0" applyAlignment="1">
      <alignment vertical="top"/>
    </xf>
    <xf numFmtId="0" fontId="5" fillId="0" borderId="0" xfId="0" applyFont="1" applyAlignment="1">
      <alignment horizontal="center" vertical="top" wrapText="1"/>
    </xf>
    <xf numFmtId="0" fontId="0" fillId="0" borderId="0" xfId="0" applyAlignment="1">
      <alignment horizontal="center" vertical="top" wrapText="1"/>
    </xf>
    <xf numFmtId="0" fontId="0" fillId="0" borderId="0" xfId="0" applyAlignment="1">
      <alignment vertical="top" wrapText="1"/>
    </xf>
    <xf numFmtId="0" fontId="3" fillId="0" borderId="0" xfId="0" applyFont="1" applyAlignment="1">
      <alignment horizontal="center" vertical="top"/>
    </xf>
    <xf numFmtId="0" fontId="3" fillId="0" borderId="0" xfId="0" applyFont="1" applyAlignment="1">
      <alignment horizontal="center"/>
    </xf>
    <xf numFmtId="0" fontId="0" fillId="0" borderId="0" xfId="0" applyAlignment="1">
      <alignment horizontal="left" vertical="top" wrapText="1"/>
    </xf>
    <xf numFmtId="0" fontId="4" fillId="0" borderId="0" xfId="0" applyFont="1" applyAlignment="1">
      <alignment vertical="center"/>
    </xf>
    <xf numFmtId="0" fontId="4" fillId="0" borderId="0" xfId="0" applyFont="1" applyAlignment="1">
      <alignment horizontal="left" vertical="center"/>
    </xf>
    <xf numFmtId="0" fontId="3" fillId="0" borderId="0" xfId="0" applyFont="1" applyAlignment="1">
      <alignment horizontal="center" vertical="center"/>
    </xf>
    <xf numFmtId="0" fontId="3" fillId="0" borderId="0" xfId="0" applyFont="1"/>
    <xf numFmtId="0" fontId="0" fillId="0" borderId="0" xfId="0" applyAlignment="1">
      <alignment wrapText="1"/>
    </xf>
    <xf numFmtId="0" fontId="3" fillId="0" borderId="0" xfId="0" applyFont="1" applyAlignment="1">
      <alignment vertical="center"/>
    </xf>
    <xf numFmtId="0" fontId="0" fillId="0" borderId="0" xfId="0" applyAlignment="1">
      <alignment horizontal="left" vertical="center"/>
    </xf>
    <xf numFmtId="0" fontId="0" fillId="0" borderId="0" xfId="0" applyAlignment="1">
      <alignment vertical="center"/>
    </xf>
    <xf numFmtId="0" fontId="0" fillId="0" borderId="0" xfId="0" applyAlignment="1">
      <alignment vertical="center" wrapText="1"/>
    </xf>
    <xf numFmtId="0" fontId="3" fillId="0" borderId="0" xfId="0" applyFont="1" applyAlignment="1">
      <alignment vertical="center" wrapText="1"/>
    </xf>
    <xf numFmtId="49" fontId="0" fillId="0" borderId="0" xfId="0" applyNumberFormat="1"/>
    <xf numFmtId="0" fontId="2" fillId="2" borderId="0" xfId="0" applyFont="1" applyFill="1" applyAlignment="1">
      <alignment horizontal="left" vertical="center" wrapText="1"/>
    </xf>
    <xf numFmtId="0" fontId="6" fillId="2" borderId="3" xfId="0" applyFont="1" applyFill="1" applyBorder="1" applyAlignment="1">
      <alignment horizontal="left" vertical="center" wrapText="1"/>
    </xf>
    <xf numFmtId="0" fontId="6" fillId="2" borderId="0" xfId="0" applyFont="1" applyFill="1" applyAlignment="1">
      <alignment horizontal="center" vertical="center"/>
    </xf>
    <xf numFmtId="0" fontId="6" fillId="2" borderId="3" xfId="0" applyFont="1" applyFill="1" applyBorder="1" applyAlignment="1">
      <alignment horizontal="center" vertical="center"/>
    </xf>
    <xf numFmtId="0" fontId="6" fillId="2" borderId="0" xfId="0" applyFont="1" applyFill="1" applyAlignment="1">
      <alignment horizontal="center" vertical="center" wrapText="1"/>
    </xf>
    <xf numFmtId="0" fontId="6" fillId="2" borderId="3" xfId="0" applyFont="1" applyFill="1" applyBorder="1" applyAlignment="1">
      <alignment horizontal="center" vertical="center" wrapText="1"/>
    </xf>
    <xf numFmtId="0" fontId="2" fillId="2" borderId="0" xfId="0" applyFont="1" applyFill="1" applyAlignment="1">
      <alignment horizontal="center" vertical="top" wrapText="1"/>
    </xf>
    <xf numFmtId="0" fontId="6" fillId="2" borderId="3" xfId="0" applyFont="1" applyFill="1" applyBorder="1" applyAlignment="1">
      <alignment horizontal="center" vertical="top" wrapText="1"/>
    </xf>
    <xf numFmtId="0" fontId="6" fillId="2" borderId="0" xfId="0" applyFont="1" applyFill="1" applyAlignment="1">
      <alignment horizontal="center" vertical="top" wrapText="1"/>
    </xf>
    <xf numFmtId="0" fontId="2" fillId="2" borderId="0" xfId="0" applyFont="1" applyFill="1" applyAlignment="1">
      <alignment horizontal="left" vertical="center"/>
    </xf>
    <xf numFmtId="0" fontId="6" fillId="2" borderId="3" xfId="0" applyFont="1" applyFill="1" applyBorder="1" applyAlignment="1">
      <alignment horizontal="left" vertical="center"/>
    </xf>
    <xf numFmtId="0" fontId="2" fillId="2" borderId="3" xfId="0" applyFont="1" applyFill="1" applyBorder="1" applyAlignment="1">
      <alignment horizontal="center" vertical="top" wrapText="1"/>
    </xf>
    <xf numFmtId="0" fontId="3" fillId="0" borderId="0" xfId="0" applyFont="1" applyAlignment="1">
      <alignment horizontal="center" vertical="center"/>
    </xf>
    <xf numFmtId="0" fontId="0" fillId="0" borderId="0" xfId="0" applyAlignment="1">
      <alignment horizontal="center" vertical="center"/>
    </xf>
    <xf numFmtId="0" fontId="5" fillId="0" borderId="0" xfId="0" applyFont="1" applyAlignment="1">
      <alignment horizontal="center" vertical="center"/>
    </xf>
    <xf numFmtId="0" fontId="6" fillId="2" borderId="0" xfId="0" applyFont="1" applyFill="1" applyAlignment="1">
      <alignment horizontal="left" vertical="center" wrapText="1"/>
    </xf>
  </cellXfs>
  <cellStyles count="1">
    <cellStyle name="Normální" xfId="0" builtinId="0"/>
  </cellStyles>
  <dxfs count="2">
    <dxf>
      <font>
        <b/>
        <i val="0"/>
      </font>
      <fill>
        <patternFill>
          <bgColor rgb="FFD7D7D7"/>
        </patternFill>
      </fill>
    </dxf>
    <dxf>
      <font>
        <b val="0"/>
        <i val="0"/>
      </font>
      <fill>
        <patternFill patternType="none">
          <bgColor indexed="65"/>
        </patternFill>
      </fill>
    </dxf>
  </dxfs>
  <tableStyles count="1" defaultTableStyle="TableStyleMedium2" defaultPivotStyle="PivotStyleMedium9">
    <tableStyle name="MySqlDefault" pivot="0" table="0" count="2" xr9:uid="{00000000-0011-0000-FFFF-FFFF00000000}">
      <tableStyleElement type="wholeTable" dxfId="1"/>
      <tableStyleElement type="headerRow" dxfId="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3.emf"/><Relationship Id="rId1" Type="http://schemas.openxmlformats.org/officeDocument/2006/relationships/image" Target="../media/image4.emf"/><Relationship Id="rId4"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342900</xdr:colOff>
          <xdr:row>4</xdr:row>
          <xdr:rowOff>19050</xdr:rowOff>
        </xdr:from>
        <xdr:to>
          <xdr:col>9</xdr:col>
          <xdr:colOff>1295400</xdr:colOff>
          <xdr:row>5</xdr:row>
          <xdr:rowOff>19050</xdr:rowOff>
        </xdr:to>
        <xdr:sp macro="" textlink="">
          <xdr:nvSpPr>
            <xdr:cNvPr id="22535" name="CommandButton7" hidden="1">
              <a:extLst>
                <a:ext uri="{63B3BB69-23CF-44E3-9099-C40C66FF867C}">
                  <a14:compatExt spid="_x0000_s22535"/>
                </a:ext>
                <a:ext uri="{FF2B5EF4-FFF2-40B4-BE49-F238E27FC236}">
                  <a16:creationId xmlns:a16="http://schemas.microsoft.com/office/drawing/2014/main" id="{00000000-0008-0000-0000-000007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342900</xdr:colOff>
          <xdr:row>2</xdr:row>
          <xdr:rowOff>0</xdr:rowOff>
        </xdr:from>
        <xdr:to>
          <xdr:col>9</xdr:col>
          <xdr:colOff>1308100</xdr:colOff>
          <xdr:row>3</xdr:row>
          <xdr:rowOff>31750</xdr:rowOff>
        </xdr:to>
        <xdr:sp macro="" textlink="">
          <xdr:nvSpPr>
            <xdr:cNvPr id="22536" name="CommandButton8" hidden="1">
              <a:extLst>
                <a:ext uri="{63B3BB69-23CF-44E3-9099-C40C66FF867C}">
                  <a14:compatExt spid="_x0000_s22536"/>
                </a:ext>
                <a:ext uri="{FF2B5EF4-FFF2-40B4-BE49-F238E27FC236}">
                  <a16:creationId xmlns:a16="http://schemas.microsoft.com/office/drawing/2014/main" id="{00000000-0008-0000-0000-000008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336550</xdr:colOff>
          <xdr:row>7</xdr:row>
          <xdr:rowOff>12700</xdr:rowOff>
        </xdr:from>
        <xdr:to>
          <xdr:col>9</xdr:col>
          <xdr:colOff>1308100</xdr:colOff>
          <xdr:row>8</xdr:row>
          <xdr:rowOff>0</xdr:rowOff>
        </xdr:to>
        <xdr:sp macro="" textlink="">
          <xdr:nvSpPr>
            <xdr:cNvPr id="22537" name="CommandButton2" hidden="1">
              <a:extLst>
                <a:ext uri="{63B3BB69-23CF-44E3-9099-C40C66FF867C}">
                  <a14:compatExt spid="_x0000_s22537"/>
                </a:ext>
                <a:ext uri="{FF2B5EF4-FFF2-40B4-BE49-F238E27FC236}">
                  <a16:creationId xmlns:a16="http://schemas.microsoft.com/office/drawing/2014/main" id="{00000000-0008-0000-0000-000009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336550</xdr:colOff>
          <xdr:row>9</xdr:row>
          <xdr:rowOff>12700</xdr:rowOff>
        </xdr:from>
        <xdr:to>
          <xdr:col>9</xdr:col>
          <xdr:colOff>1308100</xdr:colOff>
          <xdr:row>10</xdr:row>
          <xdr:rowOff>0</xdr:rowOff>
        </xdr:to>
        <xdr:sp macro="" textlink="">
          <xdr:nvSpPr>
            <xdr:cNvPr id="22538" name="CommandButton3" hidden="1">
              <a:extLst>
                <a:ext uri="{63B3BB69-23CF-44E3-9099-C40C66FF867C}">
                  <a14:compatExt spid="_x0000_s22538"/>
                </a:ext>
                <a:ext uri="{FF2B5EF4-FFF2-40B4-BE49-F238E27FC236}">
                  <a16:creationId xmlns:a16="http://schemas.microsoft.com/office/drawing/2014/main" id="{00000000-0008-0000-0000-00000A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List15"/>
  <dimension ref="A3:AI1342"/>
  <sheetViews>
    <sheetView tabSelected="1" zoomScale="84" zoomScaleNormal="100" workbookViewId="0">
      <selection activeCell="F9" sqref="F9"/>
    </sheetView>
  </sheetViews>
  <sheetFormatPr defaultColWidth="9.1796875" defaultRowHeight="14.5" x14ac:dyDescent="0.35"/>
  <cols>
    <col min="1" max="1" width="2.26953125" style="12" customWidth="1"/>
    <col min="2" max="3" width="2.1796875" style="12" customWidth="1"/>
    <col min="4" max="4" width="1.54296875" style="12" customWidth="1"/>
    <col min="5" max="5" width="19.54296875" style="12" customWidth="1"/>
    <col min="6" max="6" width="112.54296875" style="10" customWidth="1"/>
    <col min="7" max="7" width="6.81640625" style="10" customWidth="1"/>
    <col min="8" max="8" width="5.453125" style="10" customWidth="1"/>
    <col min="9" max="9" width="8.453125" style="10" customWidth="1"/>
    <col min="10" max="10" width="21.26953125" style="10" customWidth="1"/>
    <col min="11" max="11" width="14.453125" style="12" customWidth="1"/>
    <col min="12" max="12" width="26.7265625" style="10" customWidth="1"/>
    <col min="13" max="13" width="23.81640625" style="12" customWidth="1"/>
    <col min="14" max="14" width="9.1796875" style="10" customWidth="1"/>
    <col min="15" max="15" width="9.453125" style="10" customWidth="1"/>
    <col min="16" max="16" width="9.7265625" style="10" customWidth="1"/>
    <col min="17" max="17" width="6.1796875" style="10" customWidth="1"/>
    <col min="18" max="18" width="7" style="10" bestFit="1" customWidth="1"/>
    <col min="19" max="19" width="3.54296875" style="10" customWidth="1"/>
    <col min="20" max="20" width="61.453125" style="12" customWidth="1"/>
    <col min="21" max="16384" width="9.1796875" style="12"/>
  </cols>
  <sheetData>
    <row r="3" spans="1:26" ht="21.75" customHeight="1" x14ac:dyDescent="0.35">
      <c r="J3" s="3" t="s">
        <v>1</v>
      </c>
      <c r="K3" s="9" t="s">
        <v>144</v>
      </c>
      <c r="L3" s="8" t="s">
        <v>280</v>
      </c>
      <c r="T3" s="31"/>
    </row>
    <row r="4" spans="1:26" ht="25" customHeight="1" x14ac:dyDescent="0.35">
      <c r="D4" s="31" t="s">
        <v>18</v>
      </c>
      <c r="E4" s="31"/>
      <c r="F4" s="31" t="s">
        <v>113</v>
      </c>
      <c r="J4" s="3" t="s">
        <v>1</v>
      </c>
      <c r="K4" s="9" t="s">
        <v>5</v>
      </c>
      <c r="L4" s="8" t="s">
        <v>277</v>
      </c>
      <c r="M4" s="11"/>
      <c r="U4" s="12" t="s">
        <v>1</v>
      </c>
      <c r="Z4" s="10"/>
    </row>
    <row r="5" spans="1:26" ht="25" customHeight="1" x14ac:dyDescent="0.35">
      <c r="D5" s="31" t="s">
        <v>19</v>
      </c>
      <c r="E5" s="31"/>
      <c r="F5" s="31" t="s">
        <v>20</v>
      </c>
      <c r="J5" s="3" t="s">
        <v>1</v>
      </c>
      <c r="K5" s="9" t="s">
        <v>100</v>
      </c>
      <c r="L5" s="8" t="s">
        <v>182</v>
      </c>
      <c r="M5" s="11"/>
      <c r="U5" s="12" t="s">
        <v>1</v>
      </c>
      <c r="Z5" s="10"/>
    </row>
    <row r="6" spans="1:26" ht="25" customHeight="1" x14ac:dyDescent="0.35">
      <c r="D6" s="31" t="s">
        <v>63</v>
      </c>
      <c r="E6" s="13"/>
      <c r="F6" s="32">
        <v>1</v>
      </c>
      <c r="J6" s="3" t="s">
        <v>1</v>
      </c>
      <c r="K6" s="9" t="s">
        <v>17</v>
      </c>
      <c r="L6" s="8" t="s">
        <v>278</v>
      </c>
      <c r="M6" s="11"/>
      <c r="U6" s="12" t="s">
        <v>1</v>
      </c>
      <c r="Z6" s="10"/>
    </row>
    <row r="7" spans="1:26" ht="25" customHeight="1" x14ac:dyDescent="0.35">
      <c r="D7" s="31" t="s">
        <v>143</v>
      </c>
      <c r="E7" s="13"/>
      <c r="F7" s="31" t="str">
        <f>GetWorkName()</f>
        <v>StepperMeas</v>
      </c>
      <c r="J7" s="3" t="s">
        <v>1</v>
      </c>
      <c r="K7" s="9" t="s">
        <v>21</v>
      </c>
      <c r="L7" s="8" t="s">
        <v>279</v>
      </c>
      <c r="M7" s="11"/>
      <c r="U7" s="12" t="s">
        <v>1</v>
      </c>
      <c r="Z7" s="10"/>
    </row>
    <row r="8" spans="1:26" ht="25" customHeight="1" x14ac:dyDescent="0.35">
      <c r="D8" s="31" t="s">
        <v>117</v>
      </c>
      <c r="E8" s="13"/>
      <c r="F8" s="31" t="s">
        <v>295</v>
      </c>
      <c r="J8" s="3" t="s">
        <v>1</v>
      </c>
      <c r="K8" s="9" t="s">
        <v>145</v>
      </c>
      <c r="L8" s="8" t="s">
        <v>281</v>
      </c>
      <c r="M8" s="11"/>
      <c r="U8" s="12" t="s">
        <v>1</v>
      </c>
      <c r="Z8" s="10"/>
    </row>
    <row r="9" spans="1:26" ht="25" customHeight="1" x14ac:dyDescent="0.35">
      <c r="D9" s="31" t="s">
        <v>148</v>
      </c>
      <c r="E9" s="13"/>
      <c r="F9" s="31" t="s">
        <v>294</v>
      </c>
      <c r="J9" s="3"/>
      <c r="K9" s="9" t="s">
        <v>1</v>
      </c>
      <c r="L9" s="8" t="s">
        <v>282</v>
      </c>
      <c r="M9" s="11"/>
      <c r="Z9" s="10"/>
    </row>
    <row r="10" spans="1:26" ht="25" customHeight="1" x14ac:dyDescent="0.35">
      <c r="D10" s="31" t="s">
        <v>153</v>
      </c>
      <c r="E10" s="13"/>
      <c r="F10" s="31" t="s">
        <v>284</v>
      </c>
      <c r="K10" s="9" t="s">
        <v>154</v>
      </c>
      <c r="L10" s="8" t="s">
        <v>283</v>
      </c>
      <c r="M10" s="11"/>
    </row>
    <row r="11" spans="1:26" ht="24.75" customHeight="1" x14ac:dyDescent="0.35">
      <c r="D11" s="31" t="s">
        <v>155</v>
      </c>
      <c r="F11" s="31"/>
      <c r="K11" s="10"/>
      <c r="M11" s="11"/>
    </row>
    <row r="12" spans="1:26" ht="24.75" customHeight="1" x14ac:dyDescent="0.35">
      <c r="D12" s="31" t="s">
        <v>151</v>
      </c>
      <c r="E12" s="11"/>
      <c r="F12" s="31" t="str">
        <f>ModbusGetVersion()</f>
        <v>0.1.15 - 2021-02-15</v>
      </c>
      <c r="G12" s="12"/>
      <c r="H12" s="12"/>
      <c r="I12" s="12"/>
      <c r="J12" s="12"/>
      <c r="M12" s="11"/>
    </row>
    <row r="13" spans="1:26" x14ac:dyDescent="0.35">
      <c r="F13" s="12"/>
      <c r="G13" s="12"/>
      <c r="H13" s="12"/>
      <c r="I13" s="12"/>
      <c r="J13" s="12"/>
      <c r="M13" s="11"/>
    </row>
    <row r="14" spans="1:26" x14ac:dyDescent="0.35">
      <c r="F14" s="12"/>
      <c r="G14" s="12"/>
      <c r="H14" s="12"/>
      <c r="I14" s="12"/>
      <c r="J14" s="12"/>
      <c r="M14" s="11"/>
    </row>
    <row r="15" spans="1:26" x14ac:dyDescent="0.35">
      <c r="E15" s="11"/>
      <c r="K15" s="10"/>
      <c r="M15" s="11"/>
    </row>
    <row r="16" spans="1:26" ht="15" customHeight="1" x14ac:dyDescent="0.35">
      <c r="A16" s="55"/>
      <c r="B16" s="55"/>
      <c r="C16" s="54"/>
      <c r="D16" s="44" t="s">
        <v>8</v>
      </c>
      <c r="E16" s="57" t="s">
        <v>33</v>
      </c>
      <c r="F16" s="46" t="s">
        <v>10</v>
      </c>
      <c r="G16" s="46" t="s">
        <v>39</v>
      </c>
      <c r="H16" s="46" t="s">
        <v>11</v>
      </c>
      <c r="I16" s="44" t="s">
        <v>0</v>
      </c>
      <c r="J16" s="46" t="s">
        <v>13</v>
      </c>
      <c r="K16" s="44" t="s">
        <v>16</v>
      </c>
      <c r="L16" s="44" t="s">
        <v>2</v>
      </c>
      <c r="M16" s="51" t="s">
        <v>134</v>
      </c>
      <c r="N16" s="46" t="s">
        <v>14</v>
      </c>
      <c r="O16" s="48" t="s">
        <v>118</v>
      </c>
      <c r="P16" s="48" t="s">
        <v>119</v>
      </c>
      <c r="Q16" s="48" t="s">
        <v>123</v>
      </c>
      <c r="R16" s="48" t="s">
        <v>149</v>
      </c>
      <c r="S16" s="50" t="s">
        <v>101</v>
      </c>
      <c r="T16" s="42" t="s">
        <v>4</v>
      </c>
    </row>
    <row r="17" spans="1:20" ht="15" customHeight="1" x14ac:dyDescent="0.35">
      <c r="A17" s="56"/>
      <c r="B17" s="56"/>
      <c r="C17" s="54"/>
      <c r="D17" s="45"/>
      <c r="E17" s="43"/>
      <c r="F17" s="47"/>
      <c r="G17" s="47"/>
      <c r="H17" s="47"/>
      <c r="I17" s="45"/>
      <c r="J17" s="47"/>
      <c r="K17" s="45"/>
      <c r="L17" s="45"/>
      <c r="M17" s="52"/>
      <c r="N17" s="45"/>
      <c r="O17" s="49"/>
      <c r="P17" s="49"/>
      <c r="Q17" s="53"/>
      <c r="R17" s="53"/>
      <c r="S17" s="49"/>
      <c r="T17" s="43"/>
    </row>
    <row r="18" spans="1:20" x14ac:dyDescent="0.35">
      <c r="D18" s="16"/>
      <c r="E18" s="2" t="s">
        <v>170</v>
      </c>
      <c r="F18" s="14" t="s">
        <v>32</v>
      </c>
      <c r="G18" s="5" t="s">
        <v>48</v>
      </c>
      <c r="H18" s="14" t="s">
        <v>45</v>
      </c>
      <c r="I18" s="14">
        <f xml:space="preserve"> I17+J17</f>
        <v>0</v>
      </c>
      <c r="J18" s="14">
        <v>4</v>
      </c>
      <c r="K18" s="10" t="str">
        <f xml:space="preserve"> IFERROR("0x" &amp; DEC2HEX(VLOOKUP(F18,Common!$C$10:$D$34,2,FALSE),2) &amp; DEC2HEX(I18,3) &amp; DEC2HEX(VLOOKUP(G18,Common!$C$51:$D$55,2,FALSE),1) &amp; DEC2HEX(1+2*VLOOKUP(H18,Common!$C$69:$D$72,2,FALSE),1) &amp; DEC2HEX(IFERROR(LOG(J18,2),0),1),0)</f>
        <v>0x00000112</v>
      </c>
      <c r="L18" s="10" t="str">
        <f>IF(AND(LEN(E18)&lt;&gt;0,S18=""),F18&amp;"_"&amp;UPPER(E18),"")</f>
        <v>SYS_UPTIME</v>
      </c>
      <c r="M18" s="2" t="s">
        <v>167</v>
      </c>
      <c r="N18" s="3">
        <v>0</v>
      </c>
      <c r="O18" s="3"/>
      <c r="P18" s="3"/>
      <c r="Q18" s="3" t="s">
        <v>124</v>
      </c>
      <c r="R18" s="3"/>
      <c r="T18" s="2" t="s">
        <v>168</v>
      </c>
    </row>
    <row r="19" spans="1:20" x14ac:dyDescent="0.35">
      <c r="D19" s="13"/>
      <c r="E19" s="11" t="s">
        <v>46</v>
      </c>
      <c r="F19" s="14" t="s">
        <v>32</v>
      </c>
      <c r="G19" s="5" t="s">
        <v>48</v>
      </c>
      <c r="H19" s="5" t="s">
        <v>51</v>
      </c>
      <c r="I19" s="14">
        <f t="shared" ref="I19:I29" si="0" xml:space="preserve"> I18+J18</f>
        <v>4</v>
      </c>
      <c r="J19" s="14">
        <v>4</v>
      </c>
      <c r="K19" s="10" t="str">
        <f xml:space="preserve"> IFERROR("0x" &amp; DEC2HEX(VLOOKUP(F19,Common!$C$10:$D$34,2,FALSE),2) &amp; DEC2HEX(I19,3) &amp; DEC2HEX(VLOOKUP(G19,Common!$C$51:$D$55,2,FALSE),1) &amp; DEC2HEX(1+2*VLOOKUP(H19,Common!$C$69:$D$72,2,FALSE),1) &amp; DEC2HEX(IFERROR(LOG(J19,2),0),1),0)</f>
        <v>0x00004132</v>
      </c>
      <c r="L19" s="10" t="str">
        <f>IF(AND(LEN(E19)&lt;&gt;0,S19=""),F19&amp;"_"&amp;UPPER(E19),"")</f>
        <v>SYS_REGMAP_VERSION</v>
      </c>
      <c r="M19" s="2" t="s">
        <v>142</v>
      </c>
      <c r="N19" s="3">
        <v>1001</v>
      </c>
      <c r="O19" s="10">
        <v>1001</v>
      </c>
      <c r="P19" s="10">
        <v>5050</v>
      </c>
      <c r="R19" s="29"/>
      <c r="T19" s="2" t="s">
        <v>130</v>
      </c>
    </row>
    <row r="20" spans="1:20" x14ac:dyDescent="0.35">
      <c r="A20" s="34"/>
      <c r="D20" s="13"/>
      <c r="E20" t="s">
        <v>150</v>
      </c>
      <c r="F20" s="3" t="s">
        <v>32</v>
      </c>
      <c r="G20" s="3" t="s">
        <v>44</v>
      </c>
      <c r="H20" s="3" t="s">
        <v>45</v>
      </c>
      <c r="I20" s="14">
        <f t="shared" si="0"/>
        <v>8</v>
      </c>
      <c r="J20" s="3">
        <v>4</v>
      </c>
      <c r="K20" s="10" t="str">
        <f xml:space="preserve"> IFERROR("0x" &amp; DEC2HEX(VLOOKUP(F20,Common!$C$10:$D$34,2,FALSE),2) &amp; DEC2HEX(I20,3) &amp; DEC2HEX(VLOOKUP(G20,Common!$C$51:$D$55,2,FALSE),1) &amp; DEC2HEX(1+2*VLOOKUP(H20,Common!$C$69:$D$72,2,FALSE),1) &amp; DEC2HEX(IFERROR(LOG(J20,2),0),1),0)</f>
        <v>0x00008012</v>
      </c>
      <c r="L20" s="10" t="str">
        <f>IF(AND(LEN(E20)&lt;&gt;0,S20=""),F20&amp;"_"&amp;UPPER(E20),"")</f>
        <v>SYS_STATUS</v>
      </c>
      <c r="M20" t="s">
        <v>152</v>
      </c>
      <c r="N20" s="29"/>
      <c r="O20" s="29"/>
      <c r="P20" s="3"/>
      <c r="Q20" s="29"/>
      <c r="R20" s="29"/>
      <c r="S20" s="34"/>
      <c r="T20" t="s">
        <v>156</v>
      </c>
    </row>
    <row r="21" spans="1:20" x14ac:dyDescent="0.35">
      <c r="A21" s="34"/>
      <c r="D21" s="13"/>
      <c r="E21" s="11"/>
      <c r="F21" s="3" t="s">
        <v>32</v>
      </c>
      <c r="G21" s="14"/>
      <c r="H21" s="17"/>
      <c r="I21" s="14">
        <f t="shared" si="0"/>
        <v>12</v>
      </c>
      <c r="J21" s="14"/>
      <c r="K21" s="10">
        <f xml:space="preserve"> IFERROR("0x" &amp; DEC2HEX(VLOOKUP(F21,Common!$C$10:$D$34,2,FALSE),2) &amp; DEC2HEX(I21,3) &amp; DEC2HEX(VLOOKUP(G21,Common!$C$51:$D$55,2,FALSE),1) &amp; DEC2HEX(1+2*VLOOKUP(H21,Common!$C$69:$D$72,2,FALSE),1) &amp; DEC2HEX(IFERROR(LOG(J21,2),0),1),0)</f>
        <v>0</v>
      </c>
      <c r="L21" s="3" t="s">
        <v>157</v>
      </c>
      <c r="M21" t="s">
        <v>158</v>
      </c>
      <c r="N21" s="29"/>
      <c r="Q21" s="3"/>
      <c r="R21" s="29"/>
      <c r="T21" s="2" t="s">
        <v>169</v>
      </c>
    </row>
    <row r="22" spans="1:20" x14ac:dyDescent="0.35">
      <c r="A22" s="34"/>
      <c r="D22" s="14"/>
      <c r="E22" s="2"/>
      <c r="F22" s="3" t="s">
        <v>32</v>
      </c>
      <c r="G22" s="5"/>
      <c r="H22" s="18"/>
      <c r="I22" s="14">
        <f t="shared" si="0"/>
        <v>12</v>
      </c>
      <c r="J22" s="14"/>
      <c r="K22" s="10">
        <f xml:space="preserve"> IFERROR("0x" &amp; DEC2HEX(VLOOKUP(F22,Common!$C$10:$D$34,2,FALSE),2) &amp; DEC2HEX(I22,3) &amp; DEC2HEX(VLOOKUP(G22,Common!$C$51:$D$55,2,FALSE),1) &amp; DEC2HEX(1+2*VLOOKUP(H22,Common!$C$69:$D$72,2,FALSE),1) &amp; DEC2HEX(IFERROR(LOG(J22,2),0),1),0)</f>
        <v>0</v>
      </c>
      <c r="L22" s="3" t="s">
        <v>162</v>
      </c>
      <c r="M22" t="s">
        <v>163</v>
      </c>
      <c r="N22" s="29"/>
      <c r="O22" s="29"/>
      <c r="P22" s="29"/>
      <c r="Q22" s="29"/>
      <c r="R22" s="29"/>
      <c r="S22" s="34"/>
      <c r="T22" t="s">
        <v>164</v>
      </c>
    </row>
    <row r="23" spans="1:20" x14ac:dyDescent="0.35">
      <c r="A23" s="34"/>
      <c r="D23" s="14"/>
      <c r="E23" s="2"/>
      <c r="F23" s="3" t="s">
        <v>32</v>
      </c>
      <c r="G23" s="5"/>
      <c r="H23" s="18"/>
      <c r="I23" s="14">
        <f t="shared" si="0"/>
        <v>12</v>
      </c>
      <c r="J23" s="14"/>
      <c r="K23" s="10">
        <f xml:space="preserve"> IFERROR("0x" &amp; DEC2HEX(VLOOKUP(F23,Common!$C$10:$D$34,2,FALSE),2) &amp; DEC2HEX(I23,3) &amp; DEC2HEX(VLOOKUP(G23,Common!$C$51:$D$55,2,FALSE),1) &amp; DEC2HEX(1+2*VLOOKUP(H23,Common!$C$69:$D$72,2,FALSE),1) &amp; DEC2HEX(IFERROR(LOG(J23,2),0),1),0)</f>
        <v>0</v>
      </c>
      <c r="L23" s="3" t="s">
        <v>172</v>
      </c>
      <c r="M23" t="s">
        <v>173</v>
      </c>
      <c r="N23" s="29"/>
      <c r="O23" s="29"/>
      <c r="P23" s="29"/>
      <c r="Q23" s="29"/>
      <c r="R23" s="29"/>
      <c r="S23" s="34"/>
      <c r="T23" s="2" t="s">
        <v>174</v>
      </c>
    </row>
    <row r="24" spans="1:20" s="34" customFormat="1" x14ac:dyDescent="0.35">
      <c r="D24" s="40"/>
      <c r="E24"/>
      <c r="F24" s="3" t="s">
        <v>32</v>
      </c>
      <c r="G24" s="3"/>
      <c r="H24" s="3"/>
      <c r="I24" s="33">
        <f t="shared" si="0"/>
        <v>12</v>
      </c>
      <c r="J24" s="3"/>
      <c r="K24" s="10">
        <f xml:space="preserve"> IFERROR("0x" &amp; DEC2HEX(VLOOKUP(F24,Common!$C$10:$D$34,2,FALSE),2) &amp; DEC2HEX(I24,3) &amp; DEC2HEX(VLOOKUP(G24,Common!$C$51:$D$55,2,FALSE),1) &amp; DEC2HEX(1+2*VLOOKUP(H24,Common!$C$69:$D$72,2,FALSE),1) &amp; DEC2HEX(IFERROR(LOG(J24,2),0),1),0)</f>
        <v>0</v>
      </c>
      <c r="L24" s="3" t="s">
        <v>192</v>
      </c>
      <c r="M24" t="s">
        <v>193</v>
      </c>
      <c r="N24" s="29"/>
      <c r="O24" s="29"/>
      <c r="P24" s="29"/>
      <c r="Q24" s="29"/>
      <c r="R24" s="29"/>
      <c r="T24" t="s">
        <v>194</v>
      </c>
    </row>
    <row r="25" spans="1:20" x14ac:dyDescent="0.35">
      <c r="A25" s="34"/>
      <c r="D25" s="14"/>
      <c r="E25" s="2"/>
      <c r="F25" s="3" t="s">
        <v>32</v>
      </c>
      <c r="G25" s="5"/>
      <c r="H25" s="18"/>
      <c r="I25" s="14">
        <f xml:space="preserve"> I23+J23</f>
        <v>12</v>
      </c>
      <c r="J25" s="14"/>
      <c r="K25" s="10">
        <f xml:space="preserve"> IFERROR("0x" &amp; DEC2HEX(VLOOKUP(F25,Common!$C$10:$D$34,2,FALSE),2) &amp; DEC2HEX(I25,3) &amp; DEC2HEX(VLOOKUP(G25,Common!$C$51:$D$55,2,FALSE),1) &amp; DEC2HEX(1+2*VLOOKUP(H25,Common!$C$69:$D$72,2,FALSE),1) &amp; DEC2HEX(IFERROR(LOG(J25,2),0),1),0)</f>
        <v>0</v>
      </c>
      <c r="L25" s="3" t="s">
        <v>159</v>
      </c>
      <c r="M25" t="s">
        <v>160</v>
      </c>
      <c r="N25" s="29">
        <v>16</v>
      </c>
      <c r="O25" s="29"/>
      <c r="P25" s="29"/>
      <c r="Q25" s="29"/>
      <c r="R25" s="29"/>
      <c r="S25" s="34"/>
      <c r="T25" t="s">
        <v>161</v>
      </c>
    </row>
    <row r="26" spans="1:20" x14ac:dyDescent="0.35">
      <c r="A26" s="34"/>
      <c r="D26" s="14"/>
      <c r="E26" s="2"/>
      <c r="F26" s="3" t="s">
        <v>32</v>
      </c>
      <c r="G26" s="5"/>
      <c r="H26" s="18"/>
      <c r="I26" s="14">
        <f t="shared" si="0"/>
        <v>12</v>
      </c>
      <c r="J26" s="14"/>
      <c r="K26" s="10">
        <f xml:space="preserve"> IFERROR("0x" &amp; DEC2HEX(VLOOKUP(F26,Common!$C$10:$D$34,2,FALSE),2) &amp; DEC2HEX(I26,3) &amp; DEC2HEX(VLOOKUP(G26,Common!$C$51:$D$55,2,FALSE),1) &amp; DEC2HEX(1+2*VLOOKUP(H26,Common!$C$69:$D$72,2,FALSE),1) &amp; DEC2HEX(IFERROR(LOG(J26,2),0),1),0)</f>
        <v>0</v>
      </c>
      <c r="L26" s="3" t="s">
        <v>179</v>
      </c>
      <c r="M26" t="s">
        <v>180</v>
      </c>
      <c r="N26" s="29"/>
      <c r="O26" s="29"/>
      <c r="P26" s="29"/>
      <c r="Q26" s="29"/>
      <c r="R26" s="29"/>
      <c r="S26" s="34"/>
      <c r="T26" s="2" t="s">
        <v>181</v>
      </c>
    </row>
    <row r="27" spans="1:20" s="13" customFormat="1" ht="87" x14ac:dyDescent="0.35">
      <c r="A27" s="36"/>
      <c r="B27" s="12"/>
      <c r="C27" s="12"/>
      <c r="D27" s="14"/>
      <c r="E27" s="37" t="s">
        <v>165</v>
      </c>
      <c r="F27" s="5" t="s">
        <v>32</v>
      </c>
      <c r="G27" s="5" t="s">
        <v>48</v>
      </c>
      <c r="H27" s="5" t="s">
        <v>50</v>
      </c>
      <c r="I27" s="14">
        <f t="shared" si="0"/>
        <v>12</v>
      </c>
      <c r="J27" s="33">
        <v>4</v>
      </c>
      <c r="K27" s="14" t="str">
        <f xml:space="preserve"> IFERROR("0x" &amp; DEC2HEX(VLOOKUP(F27,Common!$C$10:$D$34,2,FALSE),2) &amp; DEC2HEX(I27,3) &amp; DEC2HEX(VLOOKUP(G27,Common!$C$51:$D$55,2,FALSE),1) &amp; DEC2HEX(1+2*VLOOKUP(H27,Common!$C$69:$D$72,2,FALSE),1) &amp; DEC2HEX(IFERROR(LOG(J27,2),0),1),0)</f>
        <v>0x0000C152</v>
      </c>
      <c r="L27" s="14" t="str">
        <f>IF(AND(LEN(E27)&lt;&gt;0,S27=""),F27&amp;"_"&amp;UPPER(E27),"")</f>
        <v>SYS_COMMAND</v>
      </c>
      <c r="M27" s="38" t="s">
        <v>166</v>
      </c>
      <c r="N27" s="33"/>
      <c r="O27" s="33">
        <v>0</v>
      </c>
      <c r="P27" s="33">
        <v>9901</v>
      </c>
      <c r="Q27" s="33"/>
      <c r="R27" s="5"/>
      <c r="S27" s="33"/>
      <c r="T27" s="39" t="s">
        <v>178</v>
      </c>
    </row>
    <row r="28" spans="1:20" x14ac:dyDescent="0.35">
      <c r="A28" s="34"/>
      <c r="D28" s="14"/>
      <c r="E28" s="2" t="s">
        <v>146</v>
      </c>
      <c r="F28" s="3" t="s">
        <v>32</v>
      </c>
      <c r="G28" s="5" t="s">
        <v>48</v>
      </c>
      <c r="H28" s="18" t="s">
        <v>50</v>
      </c>
      <c r="I28" s="14">
        <f t="shared" si="0"/>
        <v>16</v>
      </c>
      <c r="J28" s="29">
        <v>4</v>
      </c>
      <c r="K28" s="10" t="str">
        <f xml:space="preserve"> IFERROR("0x" &amp; DEC2HEX(VLOOKUP(F28,Common!$C$10:$D$34,2,FALSE),2) &amp; DEC2HEX(I28,3) &amp; DEC2HEX(VLOOKUP(G28,Common!$C$51:$D$55,2,FALSE),1) &amp; DEC2HEX(1+2*VLOOKUP(H28,Common!$C$69:$D$72,2,FALSE),1) &amp; DEC2HEX(IFERROR(LOG(J28,2),0),1),0)</f>
        <v>0x00010152</v>
      </c>
      <c r="L28" s="10" t="str">
        <f>IF(AND(LEN(E28)&lt;&gt;0,S28=""),F28&amp;"_"&amp;UPPER(E28),"")</f>
        <v>SYS_TEST</v>
      </c>
      <c r="M28" s="2" t="s">
        <v>147</v>
      </c>
      <c r="R28" s="29"/>
      <c r="T28" s="2" t="s">
        <v>176</v>
      </c>
    </row>
    <row r="29" spans="1:20" s="34" customFormat="1" x14ac:dyDescent="0.35">
      <c r="D29" s="40"/>
      <c r="E29" t="s">
        <v>195</v>
      </c>
      <c r="F29" s="3" t="s">
        <v>32</v>
      </c>
      <c r="G29" s="3" t="s">
        <v>48</v>
      </c>
      <c r="H29" s="3" t="s">
        <v>45</v>
      </c>
      <c r="I29" s="14">
        <f t="shared" si="0"/>
        <v>20</v>
      </c>
      <c r="J29" s="3">
        <v>2</v>
      </c>
      <c r="K29" s="10" t="str">
        <f xml:space="preserve"> IFERROR("0x" &amp; DEC2HEX(VLOOKUP(F29,Common!$C$10:$D$34,2,FALSE),2) &amp; DEC2HEX(I29,3) &amp; DEC2HEX(VLOOKUP(G29,Common!$C$51:$D$55,2,FALSE),1) &amp; DEC2HEX(1+2*VLOOKUP(H29,Common!$C$69:$D$72,2,FALSE),1) &amp; DEC2HEX(IFERROR(LOG(J29,2),0),1),0)</f>
        <v>0x00014111</v>
      </c>
      <c r="L29" s="29" t="str">
        <f>IF(AND(LEN(E29)&lt;&gt;0,S29=""),F29&amp;"_"&amp;UPPER(E29),"")</f>
        <v>SYS_IO_INPUT</v>
      </c>
      <c r="M29" t="s">
        <v>196</v>
      </c>
      <c r="N29" s="29"/>
      <c r="O29" s="29">
        <v>0</v>
      </c>
      <c r="P29" s="3" t="s">
        <v>197</v>
      </c>
      <c r="Q29" s="29"/>
      <c r="R29" s="29"/>
      <c r="T29" t="s">
        <v>198</v>
      </c>
    </row>
    <row r="30" spans="1:20" x14ac:dyDescent="0.35">
      <c r="A30" s="34"/>
      <c r="D30" s="14"/>
      <c r="E30" s="2"/>
      <c r="F30" s="3"/>
      <c r="G30" s="5"/>
      <c r="H30" s="18"/>
      <c r="I30" s="14"/>
      <c r="J30" s="29"/>
      <c r="K30" s="10"/>
      <c r="M30" s="2"/>
      <c r="Q30" s="29"/>
      <c r="R30" s="3"/>
      <c r="S30" s="29"/>
      <c r="T30" s="35"/>
    </row>
    <row r="31" spans="1:20" x14ac:dyDescent="0.35">
      <c r="A31" s="34"/>
      <c r="D31" s="14"/>
      <c r="E31" s="2"/>
      <c r="F31" s="3"/>
      <c r="G31" s="5"/>
      <c r="H31" s="18"/>
      <c r="I31" s="14"/>
      <c r="J31" s="29"/>
      <c r="K31" s="10"/>
      <c r="M31" s="2"/>
      <c r="Q31" s="29"/>
      <c r="R31" s="3"/>
      <c r="S31" s="29"/>
      <c r="T31" s="35"/>
    </row>
    <row r="32" spans="1:20" x14ac:dyDescent="0.35">
      <c r="D32" s="14"/>
      <c r="K32" s="10"/>
      <c r="R32" s="3"/>
    </row>
    <row r="33" spans="1:23" x14ac:dyDescent="0.35">
      <c r="A33" s="34"/>
      <c r="D33" s="14"/>
      <c r="E33" s="11" t="s">
        <v>9</v>
      </c>
      <c r="F33" s="14" t="s">
        <v>30</v>
      </c>
      <c r="G33" s="5" t="s">
        <v>48</v>
      </c>
      <c r="H33" s="18" t="s">
        <v>45</v>
      </c>
      <c r="I33" s="14">
        <v>0</v>
      </c>
      <c r="J33" s="14">
        <v>4</v>
      </c>
      <c r="K33" s="10" t="str">
        <f xml:space="preserve"> IFERROR("0x" &amp; DEC2HEX(VLOOKUP(F33,Common!$C$10:$D$34,2,FALSE),2) &amp; DEC2HEX(I33,3) &amp; DEC2HEX(VLOOKUP(G33,Common!$C$51:$D$55,2,FALSE),1) &amp; DEC2HEX(1+2*VLOOKUP(H33,Common!$C$69:$D$72,2,FALSE),1) &amp; DEC2HEX(IFERROR(LOG(J33,2),0),1),0)</f>
        <v>0x01000112</v>
      </c>
      <c r="L33" s="10" t="str">
        <f>IF(AND(LEN(E33)&lt;&gt;0,S33=""),F33&amp;"_"&amp;UPPER(E33),"")</f>
        <v>FACT_SERIAL_NUMBER</v>
      </c>
      <c r="M33" t="s">
        <v>135</v>
      </c>
      <c r="N33" s="3"/>
      <c r="R33" s="29"/>
      <c r="T33" t="s">
        <v>125</v>
      </c>
    </row>
    <row r="34" spans="1:23" x14ac:dyDescent="0.35">
      <c r="A34" s="34"/>
      <c r="D34" s="14"/>
      <c r="E34" s="11" t="s">
        <v>22</v>
      </c>
      <c r="F34" s="14" t="s">
        <v>30</v>
      </c>
      <c r="G34" s="5" t="s">
        <v>48</v>
      </c>
      <c r="H34" s="18" t="s">
        <v>45</v>
      </c>
      <c r="I34" s="14">
        <f t="shared" ref="I34:I41" si="1" xml:space="preserve"> I33+J33</f>
        <v>4</v>
      </c>
      <c r="J34" s="14">
        <v>4</v>
      </c>
      <c r="K34" s="10" t="str">
        <f xml:space="preserve"> IFERROR("0x" &amp; DEC2HEX(VLOOKUP(F34,Common!$C$10:$D$34,2,FALSE),2) &amp; DEC2HEX(I34,3) &amp; DEC2HEX(VLOOKUP(G34,Common!$C$51:$D$55,2,FALSE),1) &amp; DEC2HEX(1+2*VLOOKUP(H34,Common!$C$69:$D$72,2,FALSE),1) &amp; DEC2HEX(IFERROR(LOG(J34,2),0),1),0)</f>
        <v>0x01004112</v>
      </c>
      <c r="L34" s="10" t="str">
        <f>IF(AND(LEN(E34)&lt;&gt;0,S34=""),F34&amp;"_"&amp;UPPER(E34),"")</f>
        <v>FACT_DEVICE_ID</v>
      </c>
      <c r="M34" t="s">
        <v>136</v>
      </c>
      <c r="N34" s="3"/>
      <c r="O34" s="10">
        <v>9153</v>
      </c>
      <c r="P34" s="10">
        <v>9153</v>
      </c>
      <c r="R34" s="29"/>
      <c r="T34" t="s">
        <v>177</v>
      </c>
    </row>
    <row r="35" spans="1:23" x14ac:dyDescent="0.35">
      <c r="A35" s="34"/>
      <c r="D35" s="14"/>
      <c r="E35" s="11" t="s">
        <v>15</v>
      </c>
      <c r="F35" s="14" t="s">
        <v>30</v>
      </c>
      <c r="G35" s="5" t="s">
        <v>48</v>
      </c>
      <c r="H35" s="18" t="s">
        <v>45</v>
      </c>
      <c r="I35" s="14">
        <f t="shared" si="1"/>
        <v>8</v>
      </c>
      <c r="J35" s="14">
        <v>4</v>
      </c>
      <c r="K35" s="10" t="str">
        <f xml:space="preserve"> IFERROR("0x" &amp; DEC2HEX(VLOOKUP(F35,Common!$C$10:$D$34,2,FALSE),2) &amp; DEC2HEX(I35,3) &amp; DEC2HEX(VLOOKUP(G35,Common!$C$51:$D$55,2,FALSE),1) &amp; DEC2HEX(1+2*VLOOKUP(H35,Common!$C$69:$D$72,2,FALSE),1) &amp; DEC2HEX(IFERROR(LOG(J35,2),0),1),0)</f>
        <v>0x01008112</v>
      </c>
      <c r="L35" s="10" t="str">
        <f>IF(AND(LEN(E35)&lt;&gt;0,S35=""),F35&amp;"_"&amp;UPPER(E35),"")</f>
        <v>FACT_HW_REVISION</v>
      </c>
      <c r="M35" t="s">
        <v>137</v>
      </c>
      <c r="N35" s="3"/>
      <c r="O35" s="3">
        <v>1001</v>
      </c>
      <c r="P35" s="3">
        <v>5099</v>
      </c>
      <c r="R35" s="29"/>
      <c r="T35" t="s">
        <v>171</v>
      </c>
    </row>
    <row r="36" spans="1:23" x14ac:dyDescent="0.35">
      <c r="A36" s="34"/>
      <c r="D36" s="14"/>
      <c r="E36" s="11" t="s">
        <v>34</v>
      </c>
      <c r="F36" s="14" t="s">
        <v>30</v>
      </c>
      <c r="G36" s="5" t="s">
        <v>48</v>
      </c>
      <c r="H36" s="18" t="s">
        <v>45</v>
      </c>
      <c r="I36" s="14">
        <f t="shared" si="1"/>
        <v>12</v>
      </c>
      <c r="J36" s="14">
        <v>4</v>
      </c>
      <c r="K36" s="10" t="str">
        <f xml:space="preserve"> IFERROR("0x" &amp; DEC2HEX(VLOOKUP(F36,Common!$C$10:$D$34,2,FALSE),2) &amp; DEC2HEX(I36,3) &amp; DEC2HEX(VLOOKUP(G36,Common!$C$51:$D$55,2,FALSE),1) &amp; DEC2HEX(1+2*VLOOKUP(H36,Common!$C$69:$D$72,2,FALSE),1) &amp; DEC2HEX(IFERROR(LOG(J36,2),0),1),0)</f>
        <v>0x0100C112</v>
      </c>
      <c r="L36" s="10" t="str">
        <f>IF(AND(LEN(E36)&lt;&gt;0,S36=""),F36&amp;"_"&amp;UPPER(E36),"")</f>
        <v>FACT_BOOT_REVISION</v>
      </c>
      <c r="M36" t="s">
        <v>138</v>
      </c>
      <c r="O36" s="3">
        <v>1001</v>
      </c>
      <c r="P36" s="3">
        <v>5099</v>
      </c>
      <c r="R36" s="29"/>
      <c r="T36" t="s">
        <v>126</v>
      </c>
    </row>
    <row r="37" spans="1:23" x14ac:dyDescent="0.35">
      <c r="D37" s="14"/>
      <c r="E37" s="11"/>
      <c r="F37" s="14"/>
      <c r="G37" s="5"/>
      <c r="H37" s="18"/>
      <c r="I37" s="14"/>
      <c r="J37" s="14"/>
      <c r="K37" s="10"/>
      <c r="M37"/>
      <c r="O37" s="3"/>
      <c r="P37" s="3"/>
      <c r="R37" s="29"/>
      <c r="T37"/>
    </row>
    <row r="38" spans="1:23" ht="15" customHeight="1" x14ac:dyDescent="0.35">
      <c r="A38" s="34"/>
      <c r="D38" s="15"/>
      <c r="E38" s="11" t="s">
        <v>35</v>
      </c>
      <c r="F38" s="10" t="s">
        <v>31</v>
      </c>
      <c r="G38" s="5" t="s">
        <v>48</v>
      </c>
      <c r="H38" s="18" t="s">
        <v>45</v>
      </c>
      <c r="I38" s="14">
        <v>0</v>
      </c>
      <c r="J38" s="10">
        <v>4</v>
      </c>
      <c r="K38" s="10" t="str">
        <f xml:space="preserve"> IFERROR("0x" &amp; DEC2HEX(VLOOKUP(F38,Common!$C$10:$D$34,2,FALSE),2) &amp; DEC2HEX(I38,3) &amp; DEC2HEX(VLOOKUP(G38,Common!$C$51:$D$55,2,FALSE),1) &amp; DEC2HEX(1+2*VLOOKUP(H38,Common!$C$69:$D$72,2,FALSE),1) &amp; DEC2HEX(IFERROR(LOG(J38,2),0),1),0)</f>
        <v>0x02000112</v>
      </c>
      <c r="L38" s="10" t="str">
        <f>IF(AND(LEN(E38)&lt;&gt;0,S38=""),F38&amp;"_"&amp;UPPER(E38),"")</f>
        <v>FIRM_REVISION</v>
      </c>
      <c r="M38" t="s">
        <v>175</v>
      </c>
      <c r="O38" s="29">
        <v>1</v>
      </c>
      <c r="P38" s="10">
        <v>999</v>
      </c>
      <c r="R38" s="29"/>
      <c r="T38" t="s">
        <v>127</v>
      </c>
    </row>
    <row r="39" spans="1:23" x14ac:dyDescent="0.35">
      <c r="A39" s="34"/>
      <c r="D39" s="15"/>
      <c r="E39" s="11" t="s">
        <v>12</v>
      </c>
      <c r="F39" s="10" t="s">
        <v>31</v>
      </c>
      <c r="G39" s="5" t="s">
        <v>48</v>
      </c>
      <c r="H39" s="18" t="s">
        <v>45</v>
      </c>
      <c r="I39" s="14">
        <f t="shared" si="1"/>
        <v>4</v>
      </c>
      <c r="J39" s="10">
        <v>4</v>
      </c>
      <c r="K39" s="10" t="str">
        <f xml:space="preserve"> IFERROR("0x" &amp; DEC2HEX(VLOOKUP(F39,Common!$C$10:$D$34,2,FALSE),2) &amp; DEC2HEX(I39,3) &amp; DEC2HEX(VLOOKUP(G39,Common!$C$51:$D$55,2,FALSE),1) &amp; DEC2HEX(1+2*VLOOKUP(H39,Common!$C$69:$D$72,2,FALSE),1) &amp; DEC2HEX(IFERROR(LOG(J39,2),0),1),0)</f>
        <v>0x02004112</v>
      </c>
      <c r="L39" s="10" t="str">
        <f>IF(AND(LEN(E39)&lt;&gt;0,S39=""),F39&amp;"_"&amp;UPPER(E39),"")</f>
        <v>FIRM_ASSEMBLY_INFO</v>
      </c>
      <c r="M39" t="s">
        <v>139</v>
      </c>
      <c r="O39" s="29">
        <v>20231100</v>
      </c>
      <c r="P39" s="29">
        <v>20250330</v>
      </c>
      <c r="R39" s="29"/>
      <c r="T39" t="s">
        <v>128</v>
      </c>
    </row>
    <row r="40" spans="1:23" x14ac:dyDescent="0.35">
      <c r="A40" s="34"/>
      <c r="D40" s="15"/>
      <c r="E40" s="11" t="s">
        <v>36</v>
      </c>
      <c r="F40" s="10" t="s">
        <v>31</v>
      </c>
      <c r="G40" s="5" t="s">
        <v>48</v>
      </c>
      <c r="H40" s="18" t="s">
        <v>45</v>
      </c>
      <c r="I40" s="14">
        <f t="shared" si="1"/>
        <v>8</v>
      </c>
      <c r="J40" s="10">
        <v>4</v>
      </c>
      <c r="K40" s="10" t="str">
        <f xml:space="preserve"> IFERROR("0x" &amp; DEC2HEX(VLOOKUP(F40,Common!$C$10:$D$34,2,FALSE),2) &amp; DEC2HEX(I40,3) &amp; DEC2HEX(VLOOKUP(G40,Common!$C$51:$D$55,2,FALSE),1) &amp; DEC2HEX(1+2*VLOOKUP(H40,Common!$C$69:$D$72,2,FALSE),1) &amp; DEC2HEX(IFERROR(LOG(J40,2),0),1),0)</f>
        <v>0x02008112</v>
      </c>
      <c r="L40" s="10" t="str">
        <f>IF(AND(LEN(E40)&lt;&gt;0,S40=""),F40&amp;"_"&amp;UPPER(E40),"")</f>
        <v>FIRM_APP_CHECKSUM</v>
      </c>
      <c r="M40" t="s">
        <v>140</v>
      </c>
      <c r="R40" s="29"/>
      <c r="T40" t="s">
        <v>42</v>
      </c>
    </row>
    <row r="41" spans="1:23" x14ac:dyDescent="0.35">
      <c r="A41" s="34"/>
      <c r="D41" s="15"/>
      <c r="E41" s="11" t="s">
        <v>37</v>
      </c>
      <c r="F41" s="10" t="s">
        <v>31</v>
      </c>
      <c r="G41" s="5" t="s">
        <v>48</v>
      </c>
      <c r="H41" s="18" t="s">
        <v>45</v>
      </c>
      <c r="I41" s="14">
        <f t="shared" si="1"/>
        <v>12</v>
      </c>
      <c r="J41" s="10">
        <v>4</v>
      </c>
      <c r="K41" s="10" t="str">
        <f xml:space="preserve"> IFERROR("0x" &amp; DEC2HEX(VLOOKUP(F41,Common!$C$10:$D$34,2,FALSE),2) &amp; DEC2HEX(I41,3) &amp; DEC2HEX(VLOOKUP(G41,Common!$C$51:$D$55,2,FALSE),1) &amp; DEC2HEX(1+2*VLOOKUP(H41,Common!$C$69:$D$72,2,FALSE),1) &amp; DEC2HEX(IFERROR(LOG(J41,2),0),1),0)</f>
        <v>0x0200C112</v>
      </c>
      <c r="L41" s="10" t="str">
        <f>IF(AND(LEN(E41)&lt;&gt;0,S41=""),F41&amp;"_"&amp;UPPER(E41),"")</f>
        <v>FIRM_APP_SIZE</v>
      </c>
      <c r="M41" t="s">
        <v>141</v>
      </c>
      <c r="O41" s="10">
        <v>10000</v>
      </c>
      <c r="P41" s="10">
        <v>32000</v>
      </c>
      <c r="R41" s="29"/>
      <c r="T41" t="s">
        <v>129</v>
      </c>
    </row>
    <row r="42" spans="1:23" x14ac:dyDescent="0.35">
      <c r="D42" s="15"/>
      <c r="E42" s="2"/>
      <c r="F42" s="5"/>
      <c r="G42" s="5"/>
      <c r="H42" s="18"/>
      <c r="I42" s="14"/>
      <c r="J42" s="14"/>
      <c r="K42" s="10"/>
      <c r="L42" s="3"/>
      <c r="M42"/>
      <c r="R42" s="29"/>
      <c r="T42"/>
    </row>
    <row r="43" spans="1:23" s="34" customFormat="1" x14ac:dyDescent="0.35">
      <c r="B43" s="12"/>
      <c r="C43" s="12"/>
      <c r="D43"/>
      <c r="E43"/>
      <c r="F43" s="3"/>
      <c r="G43" s="3"/>
      <c r="H43" s="3"/>
      <c r="I43" s="33"/>
      <c r="J43" s="29"/>
      <c r="K43" s="29"/>
      <c r="L43" s="29"/>
      <c r="M43" s="21"/>
      <c r="N43" s="29"/>
      <c r="O43" s="3"/>
      <c r="P43" s="3"/>
      <c r="Q43" s="3"/>
      <c r="R43" s="3"/>
      <c r="S43"/>
      <c r="T43"/>
      <c r="U43"/>
      <c r="V43"/>
      <c r="W43"/>
    </row>
    <row r="44" spans="1:23" s="34" customFormat="1" x14ac:dyDescent="0.35">
      <c r="D44" s="40"/>
      <c r="E44" s="2" t="s">
        <v>199</v>
      </c>
      <c r="F44" s="5" t="s">
        <v>185</v>
      </c>
      <c r="G44" s="3" t="s">
        <v>114</v>
      </c>
      <c r="H44" s="18" t="s">
        <v>47</v>
      </c>
      <c r="I44" s="33">
        <f t="shared" ref="I44:I60" si="2" xml:space="preserve"> I43+J43</f>
        <v>0</v>
      </c>
      <c r="J44" s="29">
        <v>1</v>
      </c>
      <c r="K44" s="10" t="str">
        <f xml:space="preserve"> IFERROR("0x" &amp; DEC2HEX(VLOOKUP(F44,Common!$C$10:$D$34,2,FALSE),2) &amp; DEC2HEX(I44,3) &amp; DEC2HEX(VLOOKUP(G44,Common!$C$51:$D$55,2,FALSE),1) &amp; DEC2HEX(1+2*VLOOKUP(H44,Common!$C$69:$D$72,2,FALSE),1) &amp; DEC2HEX(IFERROR(LOG(J44,2),0),1),0)</f>
        <v>0x03000570</v>
      </c>
      <c r="L44" s="29" t="str">
        <f t="shared" ref="L44" si="3">IF(AND(LEN(E44)&lt;&gt;0,S44=""),F44&amp;"_"&amp;UPPER(E44),"")</f>
        <v>COM_MB_BAUD_RATE</v>
      </c>
      <c r="M44" t="s">
        <v>200</v>
      </c>
      <c r="N44" s="29">
        <v>1</v>
      </c>
      <c r="O44" s="29">
        <v>0</v>
      </c>
      <c r="P44" s="29">
        <v>4</v>
      </c>
      <c r="Q44" s="29"/>
      <c r="R44" s="29"/>
      <c r="S44" s="29"/>
      <c r="T44" t="s">
        <v>201</v>
      </c>
    </row>
    <row r="45" spans="1:23" s="34" customFormat="1" x14ac:dyDescent="0.35">
      <c r="D45" s="40"/>
      <c r="F45" s="5" t="s">
        <v>185</v>
      </c>
      <c r="G45" s="29"/>
      <c r="H45" s="29"/>
      <c r="I45" s="33">
        <f t="shared" si="2"/>
        <v>1</v>
      </c>
      <c r="J45" s="29"/>
      <c r="K45" s="10">
        <f xml:space="preserve"> IFERROR("0x" &amp; DEC2HEX(VLOOKUP(F45,Common!$C$10:$D$34,2,FALSE),2) &amp; DEC2HEX(I45,3) &amp; DEC2HEX(VLOOKUP(G45,Common!$C$51:$D$55,2,FALSE),1) &amp; DEC2HEX(1+2*VLOOKUP(H45,Common!$C$69:$D$72,2,FALSE),1) &amp; DEC2HEX(IFERROR(LOG(J45,2),0),1),0)</f>
        <v>0</v>
      </c>
      <c r="L45" s="3" t="s">
        <v>202</v>
      </c>
      <c r="M45" s="41">
        <v>9600</v>
      </c>
      <c r="N45" s="29"/>
      <c r="O45" s="29"/>
      <c r="P45" s="29"/>
      <c r="Q45" s="29"/>
      <c r="R45" s="29"/>
      <c r="S45" s="29"/>
      <c r="T45" t="s">
        <v>203</v>
      </c>
    </row>
    <row r="46" spans="1:23" s="34" customFormat="1" x14ac:dyDescent="0.35">
      <c r="D46" s="40"/>
      <c r="F46" s="5" t="s">
        <v>185</v>
      </c>
      <c r="G46" s="29"/>
      <c r="H46" s="29"/>
      <c r="I46" s="33">
        <f t="shared" si="2"/>
        <v>1</v>
      </c>
      <c r="J46" s="29"/>
      <c r="K46" s="10">
        <f xml:space="preserve"> IFERROR("0x" &amp; DEC2HEX(VLOOKUP(F46,Common!$C$10:$D$34,2,FALSE),2) &amp; DEC2HEX(I46,3) &amp; DEC2HEX(VLOOKUP(G46,Common!$C$51:$D$55,2,FALSE),1) &amp; DEC2HEX(1+2*VLOOKUP(H46,Common!$C$69:$D$72,2,FALSE),1) &amp; DEC2HEX(IFERROR(LOG(J46,2),0),1),0)</f>
        <v>0</v>
      </c>
      <c r="L46" s="3" t="s">
        <v>204</v>
      </c>
      <c r="M46" s="41">
        <v>19200</v>
      </c>
      <c r="N46" s="29"/>
      <c r="O46" s="29"/>
      <c r="P46" s="29"/>
      <c r="Q46" s="29"/>
      <c r="R46" s="29"/>
      <c r="S46" s="29"/>
      <c r="T46" t="s">
        <v>205</v>
      </c>
    </row>
    <row r="47" spans="1:23" s="34" customFormat="1" x14ac:dyDescent="0.35">
      <c r="D47" s="40"/>
      <c r="F47" s="5" t="s">
        <v>185</v>
      </c>
      <c r="G47" s="29"/>
      <c r="H47" s="29"/>
      <c r="I47" s="33">
        <f t="shared" si="2"/>
        <v>1</v>
      </c>
      <c r="J47" s="29"/>
      <c r="K47" s="10">
        <f xml:space="preserve"> IFERROR("0x" &amp; DEC2HEX(VLOOKUP(F47,Common!$C$10:$D$34,2,FALSE),2) &amp; DEC2HEX(I47,3) &amp; DEC2HEX(VLOOKUP(G47,Common!$C$51:$D$55,2,FALSE),1) &amp; DEC2HEX(1+2*VLOOKUP(H47,Common!$C$69:$D$72,2,FALSE),1) &amp; DEC2HEX(IFERROR(LOG(J47,2),0),1),0)</f>
        <v>0</v>
      </c>
      <c r="L47" s="3" t="s">
        <v>206</v>
      </c>
      <c r="M47" s="41">
        <v>38400</v>
      </c>
      <c r="N47" s="29"/>
      <c r="O47" s="29"/>
      <c r="P47" s="29"/>
      <c r="Q47" s="29"/>
      <c r="R47" s="29"/>
      <c r="S47" s="29"/>
      <c r="T47" t="s">
        <v>207</v>
      </c>
    </row>
    <row r="48" spans="1:23" s="34" customFormat="1" x14ac:dyDescent="0.35">
      <c r="D48" s="40"/>
      <c r="F48" s="5" t="s">
        <v>185</v>
      </c>
      <c r="G48" s="29"/>
      <c r="H48" s="29"/>
      <c r="I48" s="33">
        <f t="shared" si="2"/>
        <v>1</v>
      </c>
      <c r="J48" s="29"/>
      <c r="K48" s="10">
        <f xml:space="preserve"> IFERROR("0x" &amp; DEC2HEX(VLOOKUP(F48,Common!$C$10:$D$34,2,FALSE),2) &amp; DEC2HEX(I48,3) &amp; DEC2HEX(VLOOKUP(G48,Common!$C$51:$D$55,2,FALSE),1) &amp; DEC2HEX(1+2*VLOOKUP(H48,Common!$C$69:$D$72,2,FALSE),1) &amp; DEC2HEX(IFERROR(LOG(J48,2),0),1),0)</f>
        <v>0</v>
      </c>
      <c r="L48" s="3" t="s">
        <v>208</v>
      </c>
      <c r="M48" s="41">
        <v>57600</v>
      </c>
      <c r="N48" s="29"/>
      <c r="O48" s="29"/>
      <c r="P48" s="29"/>
      <c r="Q48" s="29"/>
      <c r="R48" s="29"/>
      <c r="S48" s="29"/>
      <c r="T48" t="s">
        <v>209</v>
      </c>
    </row>
    <row r="49" spans="4:26" s="34" customFormat="1" x14ac:dyDescent="0.35">
      <c r="D49" s="40"/>
      <c r="F49" s="5" t="s">
        <v>185</v>
      </c>
      <c r="G49" s="29"/>
      <c r="H49" s="29"/>
      <c r="I49" s="33">
        <f t="shared" si="2"/>
        <v>1</v>
      </c>
      <c r="J49" s="29"/>
      <c r="K49" s="10">
        <f xml:space="preserve"> IFERROR("0x" &amp; DEC2HEX(VLOOKUP(F49,Common!$C$10:$D$34,2,FALSE),2) &amp; DEC2HEX(I49,3) &amp; DEC2HEX(VLOOKUP(G49,Common!$C$51:$D$55,2,FALSE),1) &amp; DEC2HEX(1+2*VLOOKUP(H49,Common!$C$69:$D$72,2,FALSE),1) &amp; DEC2HEX(IFERROR(LOG(J49,2),0),1),0)</f>
        <v>0</v>
      </c>
      <c r="L49" s="3" t="s">
        <v>210</v>
      </c>
      <c r="M49" s="41">
        <v>115200</v>
      </c>
      <c r="N49" s="29"/>
      <c r="O49" s="29"/>
      <c r="P49" s="29"/>
      <c r="Q49" s="29"/>
      <c r="R49" s="29"/>
      <c r="S49" s="29"/>
      <c r="T49" t="s">
        <v>211</v>
      </c>
    </row>
    <row r="50" spans="4:26" s="34" customFormat="1" x14ac:dyDescent="0.35">
      <c r="D50" s="40"/>
      <c r="E50" t="s">
        <v>212</v>
      </c>
      <c r="F50" s="5" t="s">
        <v>185</v>
      </c>
      <c r="G50" s="3" t="s">
        <v>114</v>
      </c>
      <c r="H50" s="3" t="s">
        <v>47</v>
      </c>
      <c r="I50" s="33">
        <f t="shared" si="2"/>
        <v>1</v>
      </c>
      <c r="J50" s="29">
        <v>1</v>
      </c>
      <c r="K50" s="10" t="str">
        <f xml:space="preserve"> IFERROR("0x" &amp; DEC2HEX(VLOOKUP(F50,Common!$C$10:$D$34,2,FALSE),2) &amp; DEC2HEX(I50,3) &amp; DEC2HEX(VLOOKUP(G50,Common!$C$51:$D$55,2,FALSE),1) &amp; DEC2HEX(1+2*VLOOKUP(H50,Common!$C$69:$D$72,2,FALSE),1) &amp; DEC2HEX(IFERROR(LOG(J50,2),0),1),0)</f>
        <v>0x03001570</v>
      </c>
      <c r="L50" s="29" t="str">
        <f t="shared" ref="L50" si="4">IF(AND(LEN(E50)&lt;&gt;0,S50=""),F50&amp;"_"&amp;UPPER(E50),"")</f>
        <v>COM_MB_PARITY</v>
      </c>
      <c r="M50" s="41" t="s">
        <v>213</v>
      </c>
      <c r="N50" s="29">
        <v>1</v>
      </c>
      <c r="O50" s="29">
        <v>0</v>
      </c>
      <c r="P50" s="29">
        <v>2</v>
      </c>
      <c r="Q50" s="29"/>
      <c r="R50" s="29"/>
      <c r="S50" s="29"/>
      <c r="T50" t="s">
        <v>214</v>
      </c>
    </row>
    <row r="51" spans="4:26" s="34" customFormat="1" x14ac:dyDescent="0.35">
      <c r="D51" s="40"/>
      <c r="F51" s="5" t="s">
        <v>185</v>
      </c>
      <c r="G51" s="29"/>
      <c r="H51" s="29"/>
      <c r="I51" s="33">
        <f t="shared" si="2"/>
        <v>2</v>
      </c>
      <c r="J51" s="29"/>
      <c r="K51" s="10">
        <f xml:space="preserve"> IFERROR("0x" &amp; DEC2HEX(VLOOKUP(F51,Common!$C$10:$D$34,2,FALSE),2) &amp; DEC2HEX(I51,3) &amp; DEC2HEX(VLOOKUP(G51,Common!$C$51:$D$55,2,FALSE),1) &amp; DEC2HEX(1+2*VLOOKUP(H51,Common!$C$69:$D$72,2,FALSE),1) &amp; DEC2HEX(IFERROR(LOG(J51,2),0),1),0)</f>
        <v>0</v>
      </c>
      <c r="L51" s="3" t="s">
        <v>215</v>
      </c>
      <c r="M51" s="41" t="s">
        <v>216</v>
      </c>
      <c r="N51" s="29"/>
      <c r="O51" s="29"/>
      <c r="P51" s="29"/>
      <c r="Q51" s="29"/>
      <c r="R51" s="29"/>
      <c r="S51" s="29"/>
      <c r="T51" t="s">
        <v>217</v>
      </c>
    </row>
    <row r="52" spans="4:26" s="34" customFormat="1" x14ac:dyDescent="0.35">
      <c r="D52" s="40"/>
      <c r="F52" s="5" t="s">
        <v>185</v>
      </c>
      <c r="G52" s="29"/>
      <c r="H52" s="29"/>
      <c r="I52" s="33">
        <f t="shared" si="2"/>
        <v>2</v>
      </c>
      <c r="J52" s="29"/>
      <c r="K52" s="10">
        <f xml:space="preserve"> IFERROR("0x" &amp; DEC2HEX(VLOOKUP(F52,Common!$C$10:$D$34,2,FALSE),2) &amp; DEC2HEX(I52,3) &amp; DEC2HEX(VLOOKUP(G52,Common!$C$51:$D$55,2,FALSE),1) &amp; DEC2HEX(1+2*VLOOKUP(H52,Common!$C$69:$D$72,2,FALSE),1) &amp; DEC2HEX(IFERROR(LOG(J52,2),0),1),0)</f>
        <v>0</v>
      </c>
      <c r="L52" s="3" t="s">
        <v>218</v>
      </c>
      <c r="M52" t="s">
        <v>219</v>
      </c>
      <c r="N52" s="29"/>
      <c r="O52" s="29"/>
      <c r="P52" s="29"/>
      <c r="Q52" s="29"/>
      <c r="R52" s="29"/>
      <c r="S52" s="29"/>
      <c r="T52" t="s">
        <v>220</v>
      </c>
    </row>
    <row r="53" spans="4:26" s="34" customFormat="1" x14ac:dyDescent="0.35">
      <c r="D53" s="40"/>
      <c r="F53" s="5" t="s">
        <v>185</v>
      </c>
      <c r="G53" s="29"/>
      <c r="H53" s="29"/>
      <c r="I53" s="33">
        <f t="shared" si="2"/>
        <v>2</v>
      </c>
      <c r="J53" s="29"/>
      <c r="K53" s="10">
        <f xml:space="preserve"> IFERROR("0x" &amp; DEC2HEX(VLOOKUP(F53,Common!$C$10:$D$34,2,FALSE),2) &amp; DEC2HEX(I53,3) &amp; DEC2HEX(VLOOKUP(G53,Common!$C$51:$D$55,2,FALSE),1) &amp; DEC2HEX(1+2*VLOOKUP(H53,Common!$C$69:$D$72,2,FALSE),1) &amp; DEC2HEX(IFERROR(LOG(J53,2),0),1),0)</f>
        <v>0</v>
      </c>
      <c r="L53" s="3" t="s">
        <v>221</v>
      </c>
      <c r="M53" t="s">
        <v>222</v>
      </c>
      <c r="N53" s="29"/>
      <c r="O53" s="29"/>
      <c r="P53" s="29"/>
      <c r="Q53" s="29"/>
      <c r="R53" s="29"/>
      <c r="S53" s="29"/>
      <c r="T53" t="s">
        <v>223</v>
      </c>
    </row>
    <row r="54" spans="4:26" s="34" customFormat="1" x14ac:dyDescent="0.35">
      <c r="D54" s="40"/>
      <c r="E54" t="s">
        <v>224</v>
      </c>
      <c r="F54" s="5" t="s">
        <v>185</v>
      </c>
      <c r="G54" s="3" t="s">
        <v>114</v>
      </c>
      <c r="H54" s="3" t="s">
        <v>47</v>
      </c>
      <c r="I54" s="33">
        <f t="shared" si="2"/>
        <v>2</v>
      </c>
      <c r="J54" s="29">
        <v>1</v>
      </c>
      <c r="K54" s="10" t="str">
        <f xml:space="preserve"> IFERROR("0x" &amp; DEC2HEX(VLOOKUP(F54,Common!$C$10:$D$34,2,FALSE),2) &amp; DEC2HEX(I54,3) &amp; DEC2HEX(VLOOKUP(G54,Common!$C$51:$D$55,2,FALSE),1) &amp; DEC2HEX(1+2*VLOOKUP(H54,Common!$C$69:$D$72,2,FALSE),1) &amp; DEC2HEX(IFERROR(LOG(J54,2),0),1),0)</f>
        <v>0x03002570</v>
      </c>
      <c r="L54" s="29" t="str">
        <f t="shared" ref="L54" si="5">IF(AND(LEN(E54)&lt;&gt;0,S54=""),F54&amp;"_"&amp;UPPER(E54),"")</f>
        <v>COM_MB_STOP_BITS</v>
      </c>
      <c r="M54" t="s">
        <v>225</v>
      </c>
      <c r="N54" s="29">
        <v>0</v>
      </c>
      <c r="O54" s="29">
        <v>0</v>
      </c>
      <c r="P54" s="29">
        <v>1</v>
      </c>
      <c r="Q54" s="29"/>
      <c r="R54" s="29"/>
      <c r="S54" s="29"/>
      <c r="T54" t="s">
        <v>226</v>
      </c>
    </row>
    <row r="55" spans="4:26" s="34" customFormat="1" x14ac:dyDescent="0.35">
      <c r="D55" s="40"/>
      <c r="F55" s="5" t="s">
        <v>185</v>
      </c>
      <c r="G55" s="29"/>
      <c r="H55" s="29"/>
      <c r="I55" s="33">
        <f t="shared" si="2"/>
        <v>3</v>
      </c>
      <c r="J55" s="29"/>
      <c r="K55" s="10">
        <f xml:space="preserve"> IFERROR("0x" &amp; DEC2HEX(VLOOKUP(F55,Common!$C$10:$D$34,2,FALSE),2) &amp; DEC2HEX(I55,3) &amp; DEC2HEX(VLOOKUP(G55,Common!$C$51:$D$55,2,FALSE),1) &amp; DEC2HEX(1+2*VLOOKUP(H55,Common!$C$69:$D$72,2,FALSE),1) &amp; DEC2HEX(IFERROR(LOG(J55,2),0),1),0)</f>
        <v>0</v>
      </c>
      <c r="L55" s="3" t="s">
        <v>227</v>
      </c>
      <c r="M55" t="s">
        <v>228</v>
      </c>
      <c r="N55" s="29"/>
      <c r="O55" s="29"/>
      <c r="P55" s="29"/>
      <c r="Q55" s="29"/>
      <c r="R55" s="29"/>
      <c r="S55" s="29"/>
      <c r="T55" t="s">
        <v>228</v>
      </c>
    </row>
    <row r="56" spans="4:26" s="34" customFormat="1" x14ac:dyDescent="0.35">
      <c r="D56" s="40"/>
      <c r="F56" s="5" t="s">
        <v>185</v>
      </c>
      <c r="G56" s="29"/>
      <c r="H56" s="29"/>
      <c r="I56" s="33">
        <f t="shared" si="2"/>
        <v>3</v>
      </c>
      <c r="J56" s="29"/>
      <c r="K56" s="10">
        <f xml:space="preserve"> IFERROR("0x" &amp; DEC2HEX(VLOOKUP(F56,Common!$C$10:$D$34,2,FALSE),2) &amp; DEC2HEX(I56,3) &amp; DEC2HEX(VLOOKUP(G56,Common!$C$51:$D$55,2,FALSE),1) &amp; DEC2HEX(1+2*VLOOKUP(H56,Common!$C$69:$D$72,2,FALSE),1) &amp; DEC2HEX(IFERROR(LOG(J56,2),0),1),0)</f>
        <v>0</v>
      </c>
      <c r="L56" s="3" t="s">
        <v>229</v>
      </c>
      <c r="M56" t="s">
        <v>230</v>
      </c>
      <c r="N56" s="29"/>
      <c r="O56" s="29"/>
      <c r="P56" s="29"/>
      <c r="Q56" s="29"/>
      <c r="R56" s="29"/>
      <c r="S56" s="29"/>
      <c r="T56" t="s">
        <v>230</v>
      </c>
    </row>
    <row r="57" spans="4:26" s="34" customFormat="1" x14ac:dyDescent="0.35">
      <c r="D57" s="40"/>
      <c r="E57" t="s">
        <v>231</v>
      </c>
      <c r="F57" s="5" t="s">
        <v>185</v>
      </c>
      <c r="G57" s="3" t="s">
        <v>48</v>
      </c>
      <c r="H57" s="3" t="s">
        <v>50</v>
      </c>
      <c r="I57" s="33">
        <f t="shared" si="2"/>
        <v>3</v>
      </c>
      <c r="J57" s="29">
        <v>1</v>
      </c>
      <c r="K57" s="10" t="str">
        <f xml:space="preserve"> IFERROR("0x" &amp; DEC2HEX(VLOOKUP(F57,Common!$C$10:$D$34,2,FALSE),2) &amp; DEC2HEX(I57,3) &amp; DEC2HEX(VLOOKUP(G57,Common!$C$51:$D$55,2,FALSE),1) &amp; DEC2HEX(1+2*VLOOKUP(H57,Common!$C$69:$D$72,2,FALSE),1) &amp; DEC2HEX(IFERROR(LOG(J57,2),0),1),0)</f>
        <v>0x03003150</v>
      </c>
      <c r="L57" s="29" t="str">
        <f t="shared" ref="L57:L60" si="6">IF(AND(LEN(E57)&lt;&gt;0,S57=""),F57&amp;"_"&amp;UPPER(E57),"")</f>
        <v>COM_RESERVED</v>
      </c>
      <c r="M57"/>
      <c r="N57" s="29"/>
      <c r="O57" s="29"/>
      <c r="P57" s="29"/>
      <c r="Q57" s="29"/>
      <c r="R57" s="3" t="s">
        <v>232</v>
      </c>
      <c r="S57" s="29"/>
      <c r="T57"/>
    </row>
    <row r="58" spans="4:26" s="34" customFormat="1" x14ac:dyDescent="0.35">
      <c r="D58" s="40"/>
      <c r="E58" t="s">
        <v>233</v>
      </c>
      <c r="F58" s="5" t="s">
        <v>185</v>
      </c>
      <c r="G58" s="3" t="s">
        <v>48</v>
      </c>
      <c r="H58" s="3" t="s">
        <v>45</v>
      </c>
      <c r="I58" s="33">
        <f t="shared" si="2"/>
        <v>4</v>
      </c>
      <c r="J58" s="29">
        <v>2</v>
      </c>
      <c r="K58" s="10" t="str">
        <f xml:space="preserve"> IFERROR("0x" &amp; DEC2HEX(VLOOKUP(F58,Common!$C$10:$D$34,2,FALSE),2) &amp; DEC2HEX(I58,3) &amp; DEC2HEX(VLOOKUP(G58,Common!$C$51:$D$55,2,FALSE),1) &amp; DEC2HEX(1+2*VLOOKUP(H58,Common!$C$69:$D$72,2,FALSE),1) &amp; DEC2HEX(IFERROR(LOG(J58,2),0),1),0)</f>
        <v>0x03004111</v>
      </c>
      <c r="L58" s="29" t="str">
        <f t="shared" si="6"/>
        <v>COM_MB_ADDRESS</v>
      </c>
      <c r="M58" t="s">
        <v>234</v>
      </c>
      <c r="N58" s="29">
        <v>32</v>
      </c>
      <c r="O58" s="29">
        <v>32</v>
      </c>
      <c r="P58" s="29">
        <v>63</v>
      </c>
      <c r="Q58" s="29"/>
      <c r="R58" s="29" t="s">
        <v>232</v>
      </c>
      <c r="S58" s="29"/>
      <c r="T58" t="s">
        <v>235</v>
      </c>
    </row>
    <row r="59" spans="4:26" s="34" customFormat="1" x14ac:dyDescent="0.35">
      <c r="D59" s="40"/>
      <c r="E59" t="s">
        <v>236</v>
      </c>
      <c r="F59" s="3" t="s">
        <v>185</v>
      </c>
      <c r="G59" s="3" t="s">
        <v>48</v>
      </c>
      <c r="H59" s="3" t="s">
        <v>50</v>
      </c>
      <c r="I59" s="33">
        <f t="shared" si="2"/>
        <v>6</v>
      </c>
      <c r="J59" s="29">
        <v>2</v>
      </c>
      <c r="K59" s="10" t="str">
        <f xml:space="preserve"> IFERROR("0x" &amp; DEC2HEX(VLOOKUP(F59,Common!$C$10:$D$34,2,FALSE),2) &amp; DEC2HEX(I59,3) &amp; DEC2HEX(VLOOKUP(G59,Common!$C$51:$D$55,2,FALSE),1) &amp; DEC2HEX(1+2*VLOOKUP(H59,Common!$C$69:$D$72,2,FALSE),1) &amp; DEC2HEX(IFERROR(LOG(J59,2),0),1),0)</f>
        <v>0x03006151</v>
      </c>
      <c r="L59" s="29" t="str">
        <f t="shared" si="6"/>
        <v>COM_MB_APPLY</v>
      </c>
      <c r="M59" t="s">
        <v>237</v>
      </c>
      <c r="N59" s="29"/>
      <c r="O59" s="29">
        <v>0</v>
      </c>
      <c r="P59" s="29">
        <v>1</v>
      </c>
      <c r="Q59" s="29"/>
      <c r="R59" s="29"/>
      <c r="S59" s="29"/>
      <c r="T59" t="s">
        <v>238</v>
      </c>
    </row>
    <row r="60" spans="4:26" s="34" customFormat="1" x14ac:dyDescent="0.35">
      <c r="D60" s="40"/>
      <c r="E60" t="s">
        <v>239</v>
      </c>
      <c r="F60" s="3" t="s">
        <v>185</v>
      </c>
      <c r="G60" s="3" t="s">
        <v>48</v>
      </c>
      <c r="H60" s="3" t="s">
        <v>47</v>
      </c>
      <c r="I60" s="33">
        <f t="shared" si="2"/>
        <v>8</v>
      </c>
      <c r="J60" s="29">
        <v>2</v>
      </c>
      <c r="K60" s="10" t="str">
        <f xml:space="preserve"> IFERROR("0x" &amp; DEC2HEX(VLOOKUP(F60,Common!$C$10:$D$34,2,FALSE),2) &amp; DEC2HEX(I60,3) &amp; DEC2HEX(VLOOKUP(G60,Common!$C$51:$D$55,2,FALSE),1) &amp; DEC2HEX(1+2*VLOOKUP(H60,Common!$C$69:$D$72,2,FALSE),1) &amp; DEC2HEX(IFERROR(LOG(J60,2),0),1),0)</f>
        <v>0x03008171</v>
      </c>
      <c r="L60" s="29" t="str">
        <f t="shared" si="6"/>
        <v>COM_MB_TIMEOUT</v>
      </c>
      <c r="M60" t="s">
        <v>193</v>
      </c>
      <c r="N60" s="29">
        <v>10</v>
      </c>
      <c r="O60" s="29">
        <v>0</v>
      </c>
      <c r="P60" s="29">
        <v>7200</v>
      </c>
      <c r="Q60" s="3" t="s">
        <v>124</v>
      </c>
      <c r="R60" s="29"/>
      <c r="S60" s="29"/>
      <c r="T60" t="s">
        <v>240</v>
      </c>
    </row>
    <row r="61" spans="4:26" s="34" customFormat="1" x14ac:dyDescent="0.35">
      <c r="D61" s="40"/>
      <c r="F61" s="29"/>
      <c r="I61" s="33"/>
      <c r="K61" s="10"/>
      <c r="N61" s="29"/>
      <c r="O61" s="29"/>
      <c r="P61" s="29"/>
      <c r="Q61" s="29"/>
      <c r="R61" s="29"/>
    </row>
    <row r="62" spans="4:26" x14ac:dyDescent="0.35">
      <c r="E62"/>
      <c r="F62" s="3"/>
      <c r="G62" s="3"/>
      <c r="H62" s="3"/>
      <c r="I62" s="33"/>
      <c r="K62" s="10"/>
      <c r="L62" s="3"/>
      <c r="M62"/>
      <c r="N62" s="3"/>
      <c r="Q62" s="3"/>
      <c r="T62"/>
      <c r="Z62" s="34"/>
    </row>
    <row r="63" spans="4:26" s="34" customFormat="1" x14ac:dyDescent="0.35">
      <c r="D63" s="40"/>
    </row>
    <row r="64" spans="4:26" s="34" customFormat="1" x14ac:dyDescent="0.35">
      <c r="D64" s="40"/>
    </row>
    <row r="65" spans="1:35" s="34" customFormat="1" x14ac:dyDescent="0.35">
      <c r="D65" s="40"/>
    </row>
    <row r="66" spans="1:35" s="34" customFormat="1" x14ac:dyDescent="0.35">
      <c r="D66" s="40"/>
      <c r="E66" t="s">
        <v>246</v>
      </c>
      <c r="F66" s="3" t="s">
        <v>189</v>
      </c>
      <c r="G66" s="3" t="s">
        <v>114</v>
      </c>
      <c r="H66" s="3" t="s">
        <v>50</v>
      </c>
      <c r="I66" s="33">
        <f>I65+J65</f>
        <v>0</v>
      </c>
      <c r="J66" s="29">
        <v>1</v>
      </c>
      <c r="K66" s="10" t="str">
        <f xml:space="preserve"> IFERROR("0x" &amp; DEC2HEX(VLOOKUP(F66,Common!$C$10:$D$34,2,FALSE),2) &amp; DEC2HEX(I66,3) &amp; DEC2HEX(VLOOKUP(G66,Common!$C$51:$D$55,2,FALSE),1) &amp; DEC2HEX(1+2*VLOOKUP(H66,Common!$C$69:$D$72,2,FALSE),1) &amp; DEC2HEX(IFERROR(LOG(J66,2),0),1),0)</f>
        <v>0x05000550</v>
      </c>
      <c r="L66" s="29" t="str">
        <f t="shared" ref="L66" si="7">IF(AND(LEN(E66)&lt;&gt;0,S66=""),F66&amp;"_"&amp;UPPER(E66),"")</f>
        <v>RTD_MODE</v>
      </c>
      <c r="M66" t="s">
        <v>261</v>
      </c>
      <c r="N66" s="29"/>
      <c r="O66" s="29">
        <v>0</v>
      </c>
      <c r="P66" s="29">
        <v>2</v>
      </c>
      <c r="Q66" s="29"/>
      <c r="R66" s="3" t="s">
        <v>262</v>
      </c>
      <c r="T66" t="s">
        <v>263</v>
      </c>
    </row>
    <row r="67" spans="1:35" s="34" customFormat="1" x14ac:dyDescent="0.35">
      <c r="D67" s="40"/>
      <c r="E67"/>
      <c r="F67" s="3"/>
      <c r="G67" s="3"/>
      <c r="H67" s="3"/>
      <c r="I67" s="33">
        <f t="shared" ref="I67:I77" si="8">I66+J66</f>
        <v>1</v>
      </c>
      <c r="J67" s="29"/>
      <c r="K67" s="10">
        <f xml:space="preserve"> IFERROR("0x" &amp; DEC2HEX(VLOOKUP(F67,Common!$C$10:$D$34,2,FALSE),2) &amp; DEC2HEX(I67,3) &amp; DEC2HEX(VLOOKUP(G67,Common!$C$51:$D$55,2,FALSE),1) &amp; DEC2HEX(1+2*VLOOKUP(H67,Common!$C$69:$D$72,2,FALSE),1) &amp; DEC2HEX(IFERROR(LOG(J67,2),0),1),0)</f>
        <v>0</v>
      </c>
      <c r="L67" s="3" t="s">
        <v>274</v>
      </c>
      <c r="M67" t="s">
        <v>264</v>
      </c>
      <c r="N67" s="29"/>
      <c r="O67" s="29"/>
      <c r="P67" s="29"/>
      <c r="Q67" s="29"/>
      <c r="R67" s="29"/>
      <c r="T67" t="s">
        <v>265</v>
      </c>
    </row>
    <row r="68" spans="1:35" s="10" customFormat="1" x14ac:dyDescent="0.35">
      <c r="A68" s="12"/>
      <c r="B68" s="12"/>
      <c r="C68" s="12"/>
      <c r="D68"/>
      <c r="E68"/>
      <c r="F68" s="3"/>
      <c r="G68" s="3"/>
      <c r="H68" s="3"/>
      <c r="I68" s="33">
        <f t="shared" si="8"/>
        <v>1</v>
      </c>
      <c r="J68" s="29"/>
      <c r="K68" s="10">
        <f xml:space="preserve"> IFERROR("0x" &amp; DEC2HEX(VLOOKUP(F68,Common!$C$10:$D$34,2,FALSE),2) &amp; DEC2HEX(I68,3) &amp; DEC2HEX(VLOOKUP(G68,Common!$C$51:$D$55,2,FALSE),1) &amp; DEC2HEX(1+2*VLOOKUP(H68,Common!$C$69:$D$72,2,FALSE),1) &amp; DEC2HEX(IFERROR(LOG(J68,2),0),1),0)</f>
        <v>0</v>
      </c>
      <c r="L68" s="3" t="s">
        <v>275</v>
      </c>
      <c r="M68" t="s">
        <v>266</v>
      </c>
      <c r="N68" s="29"/>
      <c r="O68" s="29"/>
      <c r="P68" s="29"/>
      <c r="Q68" s="29"/>
      <c r="R68" s="29"/>
      <c r="S68" s="34"/>
      <c r="T68" t="s">
        <v>267</v>
      </c>
      <c r="U68" s="34"/>
      <c r="V68" s="34"/>
      <c r="W68" s="34"/>
      <c r="X68" s="34"/>
      <c r="Y68" s="34"/>
      <c r="Z68" s="34"/>
      <c r="AA68" s="12"/>
      <c r="AB68" s="12"/>
      <c r="AC68" s="12"/>
      <c r="AD68" s="12"/>
      <c r="AE68" s="12"/>
      <c r="AF68" s="12"/>
      <c r="AG68" s="12"/>
      <c r="AH68" s="12"/>
      <c r="AI68" s="12"/>
    </row>
    <row r="69" spans="1:35" s="34" customFormat="1" x14ac:dyDescent="0.35">
      <c r="D69" s="40"/>
      <c r="E69"/>
      <c r="F69" s="3"/>
      <c r="G69" s="3"/>
      <c r="H69" s="3"/>
      <c r="I69" s="33">
        <f t="shared" si="8"/>
        <v>1</v>
      </c>
      <c r="J69" s="29"/>
      <c r="K69" s="10">
        <f xml:space="preserve"> IFERROR("0x" &amp; DEC2HEX(VLOOKUP(F69,Common!$C$10:$D$34,2,FALSE),2) &amp; DEC2HEX(I69,3) &amp; DEC2HEX(VLOOKUP(G69,Common!$C$51:$D$55,2,FALSE),1) &amp; DEC2HEX(1+2*VLOOKUP(H69,Common!$C$69:$D$72,2,FALSE),1) &amp; DEC2HEX(IFERROR(LOG(J69,2),0),1),0)</f>
        <v>0</v>
      </c>
      <c r="L69" s="3" t="s">
        <v>276</v>
      </c>
      <c r="M69" t="s">
        <v>268</v>
      </c>
      <c r="N69" s="29"/>
      <c r="O69" s="29"/>
      <c r="P69" s="29"/>
      <c r="Q69" s="29"/>
      <c r="R69" s="29"/>
      <c r="T69" t="s">
        <v>269</v>
      </c>
    </row>
    <row r="70" spans="1:35" s="34" customFormat="1" x14ac:dyDescent="0.35">
      <c r="D70" s="40"/>
      <c r="E70" s="24" t="s">
        <v>285</v>
      </c>
      <c r="F70" s="23" t="s">
        <v>189</v>
      </c>
      <c r="G70" s="23" t="s">
        <v>114</v>
      </c>
      <c r="H70" s="26" t="s">
        <v>50</v>
      </c>
      <c r="I70" s="33">
        <f t="shared" si="8"/>
        <v>1</v>
      </c>
      <c r="J70" s="29">
        <v>1</v>
      </c>
      <c r="K70" s="10" t="str">
        <f xml:space="preserve"> IFERROR("0x" &amp; DEC2HEX(VLOOKUP(F70,Common!$C$10:$D$34,2,FALSE),2) &amp; DEC2HEX(I70,3) &amp; DEC2HEX(VLOOKUP(G70,Common!$C$51:$D$55,2,FALSE),1) &amp; DEC2HEX(1+2*VLOOKUP(H70,Common!$C$69:$D$72,2,FALSE),1) &amp; DEC2HEX(IFERROR(LOG(J70,2),0),1),0)</f>
        <v>0x05001550</v>
      </c>
      <c r="L70" s="22" t="str">
        <f>IF(AND(LEN(E70)&lt;&gt;0,S70=""),F70&amp;"_"&amp;UPPER(E70),"")</f>
        <v>RTD_TEMP_CALIB</v>
      </c>
      <c r="M70" s="21" t="s">
        <v>286</v>
      </c>
      <c r="N70" s="22">
        <v>0</v>
      </c>
      <c r="O70" s="22">
        <v>0</v>
      </c>
      <c r="P70" s="22">
        <v>1</v>
      </c>
      <c r="Q70" s="23"/>
      <c r="R70" s="23"/>
      <c r="S70" s="22"/>
      <c r="T70" s="21" t="s">
        <v>291</v>
      </c>
      <c r="U70"/>
    </row>
    <row r="71" spans="1:35" s="34" customFormat="1" x14ac:dyDescent="0.35">
      <c r="D71" s="40"/>
      <c r="E71" s="24"/>
      <c r="F71" s="23" t="s">
        <v>189</v>
      </c>
      <c r="G71" s="23"/>
      <c r="H71" s="26"/>
      <c r="I71" s="33">
        <f t="shared" si="8"/>
        <v>2</v>
      </c>
      <c r="J71" s="22"/>
      <c r="K71" s="10">
        <f xml:space="preserve"> IFERROR("0x" &amp; DEC2HEX(VLOOKUP(F71,Common!$C$10:$D$34,2,FALSE),2) &amp; DEC2HEX(I71,3) &amp; DEC2HEX(VLOOKUP(G71,Common!$C$51:$D$55,2,FALSE),1) &amp; DEC2HEX(1+2*VLOOKUP(H71,Common!$C$69:$D$72,2,FALSE),1) &amp; DEC2HEX(IFERROR(LOG(J71,2),0),1),0)</f>
        <v>0</v>
      </c>
      <c r="L71" s="23" t="s">
        <v>288</v>
      </c>
      <c r="M71" s="21" t="s">
        <v>289</v>
      </c>
      <c r="N71" s="22"/>
      <c r="O71" s="22"/>
      <c r="P71" s="22"/>
      <c r="Q71" s="23"/>
      <c r="R71" s="23"/>
      <c r="S71" s="22"/>
      <c r="T71" s="21" t="s">
        <v>292</v>
      </c>
      <c r="U71"/>
    </row>
    <row r="72" spans="1:35" s="34" customFormat="1" x14ac:dyDescent="0.35">
      <c r="D72" s="40"/>
      <c r="F72" s="3" t="s">
        <v>189</v>
      </c>
      <c r="I72" s="33">
        <f t="shared" si="8"/>
        <v>2</v>
      </c>
      <c r="K72" s="10">
        <f xml:space="preserve"> IFERROR("0x" &amp; DEC2HEX(VLOOKUP(F72,Common!$C$10:$D$34,2,FALSE),2) &amp; DEC2HEX(I72,3) &amp; DEC2HEX(VLOOKUP(G72,Common!$C$51:$D$55,2,FALSE),1) &amp; DEC2HEX(1+2*VLOOKUP(H72,Common!$C$69:$D$72,2,FALSE),1) &amp; DEC2HEX(IFERROR(LOG(J72,2),0),1),0)</f>
        <v>0</v>
      </c>
      <c r="L72" s="23" t="s">
        <v>287</v>
      </c>
      <c r="M72" s="34" t="s">
        <v>290</v>
      </c>
      <c r="T72" s="21" t="s">
        <v>293</v>
      </c>
    </row>
    <row r="73" spans="1:35" s="34" customFormat="1" x14ac:dyDescent="0.35">
      <c r="D73" s="40"/>
      <c r="E73" t="s">
        <v>250</v>
      </c>
      <c r="F73" s="3" t="s">
        <v>189</v>
      </c>
      <c r="G73" s="3" t="s">
        <v>48</v>
      </c>
      <c r="H73" s="3" t="s">
        <v>50</v>
      </c>
      <c r="I73" s="33">
        <f t="shared" si="8"/>
        <v>2</v>
      </c>
      <c r="J73" s="29">
        <v>2</v>
      </c>
      <c r="K73" s="10" t="str">
        <f xml:space="preserve"> IFERROR("0x" &amp; DEC2HEX(VLOOKUP(F73,Common!$C$10:$D$34,2,FALSE),2) &amp; DEC2HEX(I73,3) &amp; DEC2HEX(VLOOKUP(G73,Common!$C$51:$D$55,2,FALSE),1) &amp; DEC2HEX(1+2*VLOOKUP(H73,Common!$C$69:$D$72,2,FALSE),1) &amp; DEC2HEX(IFERROR(LOG(J73,2),0),1),0)</f>
        <v>0x05002151</v>
      </c>
      <c r="L73" s="29" t="str">
        <f>IF(AND(LEN(E73)&lt;&gt;0,S73=""),F73&amp;"_"&amp;UPPER(E73),"")</f>
        <v>RTD_NTC_BETA</v>
      </c>
      <c r="M73" t="s">
        <v>251</v>
      </c>
      <c r="N73" s="29">
        <v>3977</v>
      </c>
      <c r="O73" s="29">
        <v>3000</v>
      </c>
      <c r="P73" s="29">
        <v>5500</v>
      </c>
      <c r="Q73" s="29"/>
      <c r="R73" s="29"/>
      <c r="S73" s="29"/>
      <c r="T73" t="s">
        <v>252</v>
      </c>
      <c r="Z73" s="12"/>
    </row>
    <row r="74" spans="1:35" s="34" customFormat="1" x14ac:dyDescent="0.35">
      <c r="D74" s="40"/>
      <c r="E74" t="s">
        <v>253</v>
      </c>
      <c r="F74" s="3" t="s">
        <v>189</v>
      </c>
      <c r="G74" s="3" t="s">
        <v>48</v>
      </c>
      <c r="H74" s="3" t="s">
        <v>50</v>
      </c>
      <c r="I74" s="33">
        <f t="shared" si="8"/>
        <v>4</v>
      </c>
      <c r="J74" s="29">
        <v>2</v>
      </c>
      <c r="K74" s="10" t="str">
        <f xml:space="preserve"> IFERROR("0x" &amp; DEC2HEX(VLOOKUP(F74,Common!$C$10:$D$34,2,FALSE),2) &amp; DEC2HEX(I74,3) &amp; DEC2HEX(VLOOKUP(G74,Common!$C$51:$D$55,2,FALSE),1) &amp; DEC2HEX(1+2*VLOOKUP(H74,Common!$C$69:$D$72,2,FALSE),1) &amp; DEC2HEX(IFERROR(LOG(J74,2),0),1),0)</f>
        <v>0x05004151</v>
      </c>
      <c r="L74" s="29" t="str">
        <f>IF(AND(LEN(E74)&lt;&gt;0,S74=""),F74&amp;"_"&amp;UPPER(E74),"")</f>
        <v>RTD_NTC_STOCK_RES</v>
      </c>
      <c r="M74" t="s">
        <v>254</v>
      </c>
      <c r="N74" s="29">
        <v>10000</v>
      </c>
      <c r="O74" s="29">
        <v>1000</v>
      </c>
      <c r="P74" s="29">
        <v>10000</v>
      </c>
      <c r="Q74" s="3" t="s">
        <v>249</v>
      </c>
      <c r="R74" s="29"/>
      <c r="S74" s="29"/>
      <c r="T74" t="s">
        <v>255</v>
      </c>
      <c r="Z74" s="12"/>
    </row>
    <row r="75" spans="1:35" s="34" customFormat="1" x14ac:dyDescent="0.35">
      <c r="D75" s="40"/>
      <c r="E75" t="s">
        <v>256</v>
      </c>
      <c r="F75" s="3" t="s">
        <v>189</v>
      </c>
      <c r="G75" s="3" t="s">
        <v>48</v>
      </c>
      <c r="H75" s="3" t="s">
        <v>50</v>
      </c>
      <c r="I75" s="33">
        <f t="shared" si="8"/>
        <v>6</v>
      </c>
      <c r="J75" s="29">
        <v>2</v>
      </c>
      <c r="K75" s="10" t="str">
        <f xml:space="preserve"> IFERROR("0x" &amp; DEC2HEX(VLOOKUP(F75,Common!$C$10:$D$34,2,FALSE),2) &amp; DEC2HEX(I75,3) &amp; DEC2HEX(VLOOKUP(G75,Common!$C$51:$D$55,2,FALSE),1) &amp; DEC2HEX(1+2*VLOOKUP(H75,Common!$C$69:$D$72,2,FALSE),1) &amp; DEC2HEX(IFERROR(LOG(J75,2),0),1),0)</f>
        <v>0x05006151</v>
      </c>
      <c r="L75" s="29" t="str">
        <f>IF(AND(LEN(E75)&lt;&gt;0,S75=""),F75&amp;"_"&amp;UPPER(E75),"")</f>
        <v>RTD_PT_STOCK_RES</v>
      </c>
      <c r="M75" t="s">
        <v>257</v>
      </c>
      <c r="N75" s="29">
        <v>1000</v>
      </c>
      <c r="O75" s="29">
        <v>100</v>
      </c>
      <c r="P75" s="29">
        <v>1000</v>
      </c>
      <c r="Q75" s="3" t="s">
        <v>249</v>
      </c>
      <c r="R75" s="29"/>
      <c r="T75" t="s">
        <v>258</v>
      </c>
    </row>
    <row r="76" spans="1:35" s="34" customFormat="1" x14ac:dyDescent="0.35">
      <c r="D76" s="40"/>
      <c r="E76" t="s">
        <v>270</v>
      </c>
      <c r="F76" s="3" t="s">
        <v>189</v>
      </c>
      <c r="G76" s="3" t="s">
        <v>48</v>
      </c>
      <c r="H76" s="3" t="s">
        <v>50</v>
      </c>
      <c r="I76" s="33">
        <f t="shared" si="8"/>
        <v>8</v>
      </c>
      <c r="J76" s="29">
        <v>4</v>
      </c>
      <c r="K76" s="10" t="str">
        <f xml:space="preserve"> IFERROR("0x" &amp; DEC2HEX(VLOOKUP(F76,Common!$C$10:$D$34,2,FALSE),2) &amp; DEC2HEX(I76,3) &amp; DEC2HEX(VLOOKUP(G76,Common!$C$51:$D$55,2,FALSE),1) &amp; DEC2HEX(1+2*VLOOKUP(H76,Common!$C$69:$D$72,2,FALSE),1) &amp; DEC2HEX(IFERROR(LOG(J76,2),0),1),0)</f>
        <v>0x05008152</v>
      </c>
      <c r="L76" s="29" t="str">
        <f>IF(AND(LEN(E76)&lt;&gt;0,S76=""),F76&amp;"_"&amp;UPPER(E76),"")</f>
        <v>RTD_RESISTANCE</v>
      </c>
      <c r="M76" t="s">
        <v>272</v>
      </c>
      <c r="N76" s="29">
        <v>10000</v>
      </c>
      <c r="O76" s="3">
        <v>10</v>
      </c>
      <c r="P76" s="29">
        <v>290000</v>
      </c>
      <c r="Q76" s="3" t="s">
        <v>249</v>
      </c>
      <c r="R76" s="3" t="s">
        <v>248</v>
      </c>
      <c r="T76" t="s">
        <v>259</v>
      </c>
      <c r="Z76" s="12"/>
    </row>
    <row r="77" spans="1:35" s="34" customFormat="1" x14ac:dyDescent="0.35">
      <c r="D77" s="40"/>
      <c r="E77" t="s">
        <v>271</v>
      </c>
      <c r="F77" s="3" t="s">
        <v>189</v>
      </c>
      <c r="G77" s="3" t="s">
        <v>49</v>
      </c>
      <c r="H77" s="3" t="s">
        <v>50</v>
      </c>
      <c r="I77" s="33">
        <f t="shared" si="8"/>
        <v>12</v>
      </c>
      <c r="J77" s="29">
        <v>4</v>
      </c>
      <c r="K77" s="10" t="str">
        <f xml:space="preserve"> IFERROR("0x" &amp; DEC2HEX(VLOOKUP(F77,Common!$C$10:$D$34,2,FALSE),2) &amp; DEC2HEX(I77,3) &amp; DEC2HEX(VLOOKUP(G77,Common!$C$51:$D$55,2,FALSE),1) &amp; DEC2HEX(1+2*VLOOKUP(H77,Common!$C$69:$D$72,2,FALSE),1) &amp; DEC2HEX(IFERROR(LOG(J77,2),0),1),0)</f>
        <v>0x0500C252</v>
      </c>
      <c r="L77" s="29" t="str">
        <f>IF(AND(LEN(E77)&lt;&gt;0,S77=""),F77&amp;"_"&amp;UPPER(E77),"")</f>
        <v>RTD_TEMPERATURE</v>
      </c>
      <c r="M77" t="s">
        <v>273</v>
      </c>
      <c r="N77" s="29">
        <v>25</v>
      </c>
      <c r="O77" s="3">
        <v>-30</v>
      </c>
      <c r="P77" s="29">
        <v>200</v>
      </c>
      <c r="Q77" s="3" t="s">
        <v>247</v>
      </c>
      <c r="R77" s="3" t="s">
        <v>248</v>
      </c>
      <c r="T77" t="s">
        <v>260</v>
      </c>
      <c r="Z77" s="12"/>
    </row>
    <row r="78" spans="1:35" s="34" customFormat="1" x14ac:dyDescent="0.35">
      <c r="D78" s="40"/>
      <c r="E78" s="24"/>
      <c r="F78" s="23"/>
      <c r="G78" s="23"/>
      <c r="H78" s="26"/>
      <c r="I78" s="33"/>
      <c r="J78" s="29"/>
      <c r="K78" s="10"/>
      <c r="L78" s="22"/>
      <c r="M78" s="21"/>
      <c r="N78" s="22"/>
      <c r="O78" s="22"/>
      <c r="P78" s="22"/>
      <c r="Q78" s="23"/>
      <c r="R78" s="23"/>
      <c r="S78" s="22"/>
      <c r="T78" s="21"/>
      <c r="U78"/>
      <c r="V78"/>
      <c r="W78"/>
      <c r="X78"/>
      <c r="Y78"/>
    </row>
    <row r="79" spans="1:35" s="34" customFormat="1" x14ac:dyDescent="0.35">
      <c r="D79" s="40"/>
      <c r="E79" s="24"/>
      <c r="F79" s="23"/>
      <c r="G79" s="23"/>
      <c r="H79" s="26"/>
      <c r="I79" s="33"/>
      <c r="J79" s="22"/>
      <c r="K79" s="10"/>
      <c r="L79" s="23"/>
      <c r="M79" s="21"/>
      <c r="N79" s="22"/>
      <c r="O79" s="22"/>
      <c r="P79" s="22"/>
      <c r="Q79" s="23"/>
      <c r="R79" s="23"/>
      <c r="S79" s="22"/>
      <c r="T79" s="21"/>
      <c r="U79"/>
      <c r="V79"/>
      <c r="W79"/>
      <c r="X79"/>
      <c r="Y79"/>
    </row>
    <row r="80" spans="1:35" s="10" customFormat="1" x14ac:dyDescent="0.35">
      <c r="A80" s="12"/>
      <c r="B80" s="12"/>
      <c r="C80" s="12"/>
      <c r="D80"/>
      <c r="E80" s="34"/>
      <c r="F80" s="3"/>
      <c r="G80" s="34"/>
      <c r="H80" s="34"/>
      <c r="I80" s="33"/>
      <c r="J80" s="34"/>
      <c r="L80" s="23"/>
      <c r="M80" s="34"/>
      <c r="N80" s="34"/>
      <c r="O80" s="34"/>
      <c r="P80" s="34"/>
      <c r="Q80" s="34"/>
      <c r="R80" s="34"/>
      <c r="S80" s="34"/>
      <c r="T80" s="34"/>
      <c r="U80" s="34"/>
      <c r="V80" s="34"/>
      <c r="W80" s="34"/>
      <c r="X80" s="34"/>
      <c r="Y80" s="34"/>
      <c r="AA80" s="12"/>
      <c r="AB80" s="12"/>
      <c r="AC80" s="12"/>
      <c r="AD80" s="12"/>
      <c r="AE80" s="12"/>
      <c r="AF80" s="12"/>
      <c r="AG80" s="12"/>
      <c r="AH80" s="12"/>
      <c r="AI80" s="12"/>
    </row>
    <row r="81" spans="1:35" s="10" customFormat="1" x14ac:dyDescent="0.35">
      <c r="A81" s="12"/>
      <c r="B81" s="12"/>
      <c r="C81" s="12"/>
      <c r="D81"/>
      <c r="E81" s="2" t="s">
        <v>241</v>
      </c>
      <c r="F81" s="3" t="s">
        <v>242</v>
      </c>
      <c r="G81" s="3" t="s">
        <v>48</v>
      </c>
      <c r="H81" s="3" t="s">
        <v>45</v>
      </c>
      <c r="I81" s="33">
        <f xml:space="preserve"> I80+J80</f>
        <v>0</v>
      </c>
      <c r="J81" s="29">
        <v>4</v>
      </c>
      <c r="K81" s="10" t="str">
        <f xml:space="preserve"> IFERROR("0x" &amp; DEC2HEX(VLOOKUP(F81,Common!$C$10:$D$34,2,FALSE),2) &amp; DEC2HEX(I81,3) &amp; DEC2HEX(VLOOKUP(G81,Common!$C$51:$D$55,2,FALSE),1) &amp; DEC2HEX(1+2*VLOOKUP(H81,Common!$C$69:$D$72,2,FALSE),1) &amp; DEC2HEX(IFERROR(LOG(J81,2),0),1),0)</f>
        <v>0x06000112</v>
      </c>
      <c r="L81" s="29" t="str">
        <f>IF(AND(LEN(E81)&lt;&gt;0,S81=""),F81&amp;"_"&amp;UPPER(E81),"")</f>
        <v>DBG_WRITES_CONF</v>
      </c>
      <c r="M81" t="s">
        <v>243</v>
      </c>
      <c r="N81" s="29"/>
      <c r="O81" s="29">
        <v>0</v>
      </c>
      <c r="P81" s="29">
        <v>1000000</v>
      </c>
      <c r="Q81" s="3" t="s">
        <v>244</v>
      </c>
      <c r="R81" s="29"/>
      <c r="S81" s="29"/>
      <c r="T81" t="s">
        <v>245</v>
      </c>
      <c r="U81"/>
      <c r="V81"/>
      <c r="W81"/>
      <c r="X81"/>
      <c r="Y81"/>
      <c r="AA81" s="12"/>
      <c r="AB81" s="12"/>
      <c r="AC81" s="12"/>
      <c r="AD81" s="12"/>
      <c r="AE81" s="12"/>
      <c r="AF81" s="12"/>
      <c r="AG81" s="12"/>
      <c r="AH81" s="12"/>
      <c r="AI81" s="12"/>
    </row>
    <row r="82" spans="1:35" s="34" customFormat="1" x14ac:dyDescent="0.35">
      <c r="D82" s="40"/>
    </row>
    <row r="83" spans="1:35" s="10" customFormat="1" x14ac:dyDescent="0.35">
      <c r="A83" s="12"/>
      <c r="B83" s="12"/>
      <c r="C83" s="12"/>
      <c r="D83"/>
      <c r="AA83" s="12"/>
      <c r="AB83" s="12"/>
      <c r="AC83" s="12"/>
      <c r="AD83" s="12"/>
      <c r="AE83" s="12"/>
      <c r="AF83" s="12"/>
      <c r="AG83" s="12"/>
      <c r="AH83" s="12"/>
      <c r="AI83" s="12"/>
    </row>
    <row r="84" spans="1:35" s="10" customFormat="1" x14ac:dyDescent="0.35">
      <c r="A84" s="12"/>
      <c r="B84" s="12"/>
      <c r="C84" s="12"/>
      <c r="D84"/>
      <c r="AA84" s="12"/>
      <c r="AB84" s="12"/>
      <c r="AC84" s="12"/>
      <c r="AD84" s="12"/>
      <c r="AE84" s="12"/>
      <c r="AF84" s="12"/>
      <c r="AG84" s="12"/>
      <c r="AH84" s="12"/>
      <c r="AI84" s="12"/>
    </row>
    <row r="85" spans="1:35" s="10" customFormat="1" x14ac:dyDescent="0.35">
      <c r="A85" s="12"/>
      <c r="B85" s="12"/>
      <c r="C85" s="12"/>
      <c r="D85"/>
      <c r="E85" s="24"/>
      <c r="F85" s="23"/>
      <c r="G85" s="23"/>
      <c r="H85" s="26"/>
      <c r="I85" s="22"/>
      <c r="J85" s="22"/>
      <c r="K85" s="22"/>
      <c r="L85" s="22"/>
      <c r="M85" s="21"/>
      <c r="N85" s="22"/>
      <c r="O85" s="22"/>
      <c r="P85" s="22"/>
      <c r="Q85" s="23"/>
      <c r="R85" s="23"/>
      <c r="S85" s="22"/>
      <c r="T85" s="21"/>
      <c r="U85"/>
      <c r="V85"/>
      <c r="W85"/>
      <c r="X85"/>
      <c r="Y85"/>
      <c r="Z85" s="12"/>
      <c r="AA85" s="12"/>
      <c r="AB85" s="12"/>
      <c r="AC85" s="12"/>
      <c r="AD85" s="12"/>
      <c r="AE85" s="12"/>
      <c r="AF85" s="12"/>
      <c r="AG85" s="12"/>
      <c r="AH85" s="12"/>
      <c r="AI85" s="12"/>
    </row>
    <row r="86" spans="1:35" s="10" customFormat="1" x14ac:dyDescent="0.35">
      <c r="A86" s="12"/>
      <c r="B86" s="12"/>
      <c r="C86" s="12"/>
      <c r="D86"/>
      <c r="E86" s="24"/>
      <c r="F86" s="23"/>
      <c r="G86" s="23"/>
      <c r="H86" s="26"/>
      <c r="I86" s="22"/>
      <c r="J86" s="22"/>
      <c r="K86" s="22"/>
      <c r="L86" s="22"/>
      <c r="M86" s="21"/>
      <c r="N86" s="22"/>
      <c r="O86" s="22"/>
      <c r="P86" s="22"/>
      <c r="Q86" s="23"/>
      <c r="R86" s="23"/>
      <c r="S86" s="22"/>
      <c r="T86" s="21"/>
      <c r="U86"/>
      <c r="V86"/>
      <c r="W86"/>
      <c r="X86"/>
      <c r="Y86"/>
      <c r="Z86" s="12"/>
      <c r="AA86" s="12"/>
      <c r="AB86" s="12"/>
      <c r="AC86" s="12"/>
      <c r="AD86" s="12"/>
      <c r="AE86" s="12"/>
      <c r="AF86" s="12"/>
      <c r="AG86" s="12"/>
      <c r="AH86" s="12"/>
      <c r="AI86" s="12"/>
    </row>
    <row r="87" spans="1:35" s="10" customFormat="1" x14ac:dyDescent="0.35">
      <c r="A87" s="12"/>
      <c r="B87" s="12"/>
      <c r="C87" s="12"/>
      <c r="D87"/>
      <c r="E87" s="24"/>
      <c r="F87" s="23"/>
      <c r="G87" s="23"/>
      <c r="H87" s="26"/>
      <c r="I87" s="22"/>
      <c r="J87" s="22"/>
      <c r="K87" s="22"/>
      <c r="L87" s="22"/>
      <c r="M87" s="21"/>
      <c r="N87" s="22"/>
      <c r="O87" s="22"/>
      <c r="P87" s="22"/>
      <c r="Q87" s="23"/>
      <c r="R87" s="23"/>
      <c r="S87" s="22"/>
      <c r="T87" s="21"/>
      <c r="U87"/>
      <c r="V87"/>
      <c r="W87"/>
      <c r="X87"/>
      <c r="Y87"/>
      <c r="Z87" s="12"/>
      <c r="AA87" s="12"/>
      <c r="AB87" s="12"/>
      <c r="AC87" s="12"/>
      <c r="AD87" s="12"/>
      <c r="AE87" s="12"/>
      <c r="AF87" s="12"/>
      <c r="AG87" s="12"/>
      <c r="AH87" s="12"/>
      <c r="AI87" s="12"/>
    </row>
    <row r="88" spans="1:35" s="10" customFormat="1" x14ac:dyDescent="0.35">
      <c r="A88" s="12"/>
      <c r="B88" s="12"/>
      <c r="C88" s="12"/>
      <c r="D88"/>
      <c r="E88" s="24"/>
      <c r="F88" s="23"/>
      <c r="G88" s="23"/>
      <c r="H88" s="26"/>
      <c r="I88" s="22"/>
      <c r="J88" s="22"/>
      <c r="K88" s="22"/>
      <c r="L88" s="22"/>
      <c r="M88" s="21"/>
      <c r="N88" s="22"/>
      <c r="O88" s="22"/>
      <c r="P88" s="22"/>
      <c r="Q88" s="23"/>
      <c r="R88" s="23"/>
      <c r="S88" s="22"/>
      <c r="T88" s="21"/>
      <c r="U88"/>
      <c r="V88"/>
      <c r="W88"/>
      <c r="X88"/>
      <c r="Y88"/>
      <c r="Z88" s="12"/>
      <c r="AA88" s="12"/>
      <c r="AB88" s="12"/>
      <c r="AC88" s="12"/>
      <c r="AD88" s="12"/>
      <c r="AE88" s="12"/>
      <c r="AF88" s="12"/>
      <c r="AG88" s="12"/>
      <c r="AH88" s="12"/>
      <c r="AI88" s="12"/>
    </row>
    <row r="89" spans="1:35" s="10" customFormat="1" x14ac:dyDescent="0.35">
      <c r="A89" s="12"/>
      <c r="B89" s="12"/>
      <c r="C89" s="12"/>
      <c r="D89"/>
      <c r="E89" s="24"/>
      <c r="F89" s="23"/>
      <c r="G89" s="23"/>
      <c r="H89" s="26"/>
      <c r="I89" s="22"/>
      <c r="J89" s="22"/>
      <c r="K89" s="22"/>
      <c r="L89" s="22"/>
      <c r="M89" s="21"/>
      <c r="N89" s="22"/>
      <c r="O89" s="22"/>
      <c r="P89" s="22"/>
      <c r="Q89" s="23"/>
      <c r="R89" s="23"/>
      <c r="S89" s="22"/>
      <c r="T89" s="21"/>
      <c r="U89"/>
      <c r="V89"/>
      <c r="W89"/>
      <c r="X89"/>
      <c r="Y89"/>
      <c r="Z89" s="12"/>
      <c r="AA89" s="12"/>
      <c r="AB89" s="12"/>
      <c r="AC89" s="12"/>
      <c r="AD89" s="12"/>
      <c r="AE89" s="12"/>
      <c r="AF89" s="12"/>
      <c r="AG89" s="12"/>
      <c r="AH89" s="12"/>
      <c r="AI89" s="12"/>
    </row>
    <row r="90" spans="1:35" s="10" customFormat="1" x14ac:dyDescent="0.35">
      <c r="A90" s="12"/>
      <c r="B90" s="12"/>
      <c r="C90" s="12"/>
      <c r="D90"/>
      <c r="E90" s="24"/>
      <c r="F90" s="23"/>
      <c r="G90" s="23"/>
      <c r="H90" s="26"/>
      <c r="I90" s="22"/>
      <c r="J90" s="22"/>
      <c r="K90" s="22"/>
      <c r="L90" s="22"/>
      <c r="M90" s="21"/>
      <c r="N90" s="22"/>
      <c r="O90" s="22"/>
      <c r="P90" s="22"/>
      <c r="Q90" s="23"/>
      <c r="R90" s="23"/>
      <c r="S90" s="22"/>
      <c r="T90" s="21"/>
      <c r="U90"/>
      <c r="V90"/>
      <c r="W90"/>
      <c r="X90"/>
      <c r="Y90"/>
      <c r="Z90" s="12"/>
      <c r="AA90" s="12"/>
      <c r="AB90" s="12"/>
      <c r="AC90" s="12"/>
      <c r="AD90" s="12"/>
      <c r="AE90" s="12"/>
      <c r="AF90" s="12"/>
      <c r="AG90" s="12"/>
      <c r="AH90" s="12"/>
      <c r="AI90" s="12"/>
    </row>
    <row r="91" spans="1:35" s="10" customFormat="1" x14ac:dyDescent="0.35">
      <c r="A91" s="12"/>
      <c r="B91" s="12"/>
      <c r="C91" s="12"/>
      <c r="D91"/>
      <c r="E91" s="24"/>
      <c r="F91" s="23"/>
      <c r="G91" s="23"/>
      <c r="H91" s="26"/>
      <c r="I91" s="22"/>
      <c r="J91" s="22"/>
      <c r="K91" s="22"/>
      <c r="L91" s="22"/>
      <c r="M91" s="21"/>
      <c r="N91" s="22"/>
      <c r="O91" s="22"/>
      <c r="P91" s="22"/>
      <c r="Q91" s="23"/>
      <c r="R91" s="23"/>
      <c r="S91" s="22"/>
      <c r="T91" s="21"/>
      <c r="U91"/>
      <c r="V91"/>
      <c r="W91"/>
      <c r="X91"/>
      <c r="Y91"/>
      <c r="Z91" s="12"/>
      <c r="AA91" s="12"/>
      <c r="AB91" s="12"/>
      <c r="AC91" s="12"/>
      <c r="AD91" s="12"/>
      <c r="AE91" s="12"/>
      <c r="AF91" s="12"/>
      <c r="AG91" s="12"/>
      <c r="AH91" s="12"/>
      <c r="AI91" s="12"/>
    </row>
    <row r="92" spans="1:35" s="10" customFormat="1" x14ac:dyDescent="0.35">
      <c r="A92" s="12"/>
      <c r="B92" s="12"/>
      <c r="C92" s="12"/>
      <c r="D92"/>
      <c r="E92" s="24"/>
      <c r="F92" s="23"/>
      <c r="G92" s="23"/>
      <c r="H92" s="26"/>
      <c r="I92" s="22"/>
      <c r="J92" s="22"/>
      <c r="K92" s="22"/>
      <c r="L92" s="22"/>
      <c r="M92" s="21"/>
      <c r="N92" s="22"/>
      <c r="O92" s="22"/>
      <c r="P92" s="22"/>
      <c r="Q92" s="23"/>
      <c r="R92" s="23"/>
      <c r="S92" s="22"/>
      <c r="T92" s="21"/>
      <c r="U92"/>
      <c r="V92"/>
      <c r="W92"/>
      <c r="X92"/>
      <c r="Y92"/>
      <c r="Z92" s="12"/>
      <c r="AA92" s="12"/>
      <c r="AB92" s="12"/>
      <c r="AC92" s="12"/>
      <c r="AD92" s="12"/>
      <c r="AE92" s="12"/>
      <c r="AF92" s="12"/>
      <c r="AG92" s="12"/>
      <c r="AH92" s="12"/>
      <c r="AI92" s="12"/>
    </row>
    <row r="93" spans="1:35" s="10" customFormat="1" x14ac:dyDescent="0.35">
      <c r="A93" s="12"/>
      <c r="B93" s="12"/>
      <c r="C93" s="12"/>
      <c r="D93"/>
      <c r="E93" s="24"/>
      <c r="F93" s="23"/>
      <c r="G93" s="23"/>
      <c r="H93" s="26"/>
      <c r="I93" s="22"/>
      <c r="J93" s="22"/>
      <c r="K93" s="22"/>
      <c r="L93" s="22"/>
      <c r="M93" s="21"/>
      <c r="N93" s="22"/>
      <c r="O93" s="22"/>
      <c r="P93" s="22"/>
      <c r="Q93" s="23"/>
      <c r="R93" s="23"/>
      <c r="S93" s="22"/>
      <c r="T93" s="21"/>
      <c r="U93"/>
      <c r="V93"/>
      <c r="W93"/>
      <c r="X93"/>
      <c r="Y93"/>
      <c r="Z93" s="12"/>
      <c r="AA93" s="12"/>
      <c r="AB93" s="12"/>
      <c r="AC93" s="12"/>
      <c r="AD93" s="12"/>
      <c r="AE93" s="12"/>
      <c r="AF93" s="12"/>
      <c r="AG93" s="12"/>
      <c r="AH93" s="12"/>
      <c r="AI93" s="12"/>
    </row>
    <row r="94" spans="1:35" s="10" customFormat="1" x14ac:dyDescent="0.35">
      <c r="A94" s="12"/>
      <c r="B94" s="12"/>
      <c r="C94" s="12"/>
      <c r="D94"/>
      <c r="E94" s="24"/>
      <c r="F94" s="23"/>
      <c r="G94" s="23"/>
      <c r="H94" s="26"/>
      <c r="I94" s="22"/>
      <c r="J94" s="22"/>
      <c r="K94" s="22"/>
      <c r="L94" s="22"/>
      <c r="M94" s="21"/>
      <c r="N94" s="22"/>
      <c r="O94" s="22"/>
      <c r="P94" s="22"/>
      <c r="Q94" s="23"/>
      <c r="R94" s="23"/>
      <c r="S94" s="22"/>
      <c r="T94" s="21"/>
      <c r="U94"/>
      <c r="V94"/>
      <c r="W94"/>
      <c r="X94"/>
      <c r="Y94"/>
      <c r="Z94" s="12"/>
      <c r="AA94" s="12"/>
      <c r="AB94" s="12"/>
      <c r="AC94" s="12"/>
      <c r="AD94" s="12"/>
      <c r="AE94" s="12"/>
      <c r="AF94" s="12"/>
      <c r="AG94" s="12"/>
      <c r="AH94" s="12"/>
      <c r="AI94" s="12"/>
    </row>
    <row r="95" spans="1:35" s="10" customFormat="1" x14ac:dyDescent="0.35">
      <c r="A95" s="12"/>
      <c r="B95" s="12"/>
      <c r="C95" s="12"/>
      <c r="D95"/>
      <c r="E95" s="24"/>
      <c r="F95" s="23"/>
      <c r="G95" s="23"/>
      <c r="H95" s="26"/>
      <c r="I95" s="22"/>
      <c r="J95" s="22"/>
      <c r="K95" s="22"/>
      <c r="L95" s="22"/>
      <c r="M95" s="21"/>
      <c r="N95" s="22"/>
      <c r="O95" s="22"/>
      <c r="P95" s="22"/>
      <c r="Q95" s="23"/>
      <c r="R95" s="23"/>
      <c r="S95" s="22"/>
      <c r="T95" s="21"/>
      <c r="U95"/>
      <c r="V95"/>
      <c r="W95"/>
      <c r="X95"/>
      <c r="Y95"/>
      <c r="Z95" s="12"/>
      <c r="AA95" s="12"/>
      <c r="AB95" s="12"/>
      <c r="AC95" s="12"/>
      <c r="AD95" s="12"/>
      <c r="AE95" s="12"/>
      <c r="AF95" s="12"/>
      <c r="AG95" s="12"/>
      <c r="AH95" s="12"/>
      <c r="AI95" s="12"/>
    </row>
    <row r="96" spans="1:35" s="10" customFormat="1" x14ac:dyDescent="0.35">
      <c r="A96" s="12"/>
      <c r="B96" s="12"/>
      <c r="C96" s="12"/>
      <c r="D96"/>
      <c r="E96" s="24"/>
      <c r="F96" s="23"/>
      <c r="G96" s="23"/>
      <c r="H96" s="26"/>
      <c r="I96" s="22"/>
      <c r="J96" s="22"/>
      <c r="K96" s="22"/>
      <c r="L96" s="22"/>
      <c r="M96" s="21"/>
      <c r="N96" s="22"/>
      <c r="O96" s="22"/>
      <c r="P96" s="22"/>
      <c r="Q96" s="23"/>
      <c r="R96" s="23"/>
      <c r="S96" s="22"/>
      <c r="T96" s="21"/>
      <c r="U96"/>
      <c r="V96"/>
      <c r="W96"/>
      <c r="X96"/>
      <c r="Y96"/>
      <c r="Z96" s="12"/>
      <c r="AA96" s="12"/>
      <c r="AB96" s="12"/>
      <c r="AC96" s="12"/>
      <c r="AD96" s="12"/>
      <c r="AE96" s="12"/>
      <c r="AF96" s="12"/>
      <c r="AG96" s="12"/>
      <c r="AH96" s="12"/>
      <c r="AI96" s="12"/>
    </row>
    <row r="97" spans="1:35" s="10" customFormat="1" x14ac:dyDescent="0.35">
      <c r="A97" s="12"/>
      <c r="B97" s="12"/>
      <c r="C97" s="12"/>
      <c r="D97"/>
      <c r="E97" s="24"/>
      <c r="F97" s="23"/>
      <c r="G97" s="23"/>
      <c r="H97" s="26"/>
      <c r="I97" s="22"/>
      <c r="J97" s="22"/>
      <c r="K97" s="22"/>
      <c r="L97" s="22"/>
      <c r="M97" s="21"/>
      <c r="N97" s="22"/>
      <c r="O97" s="22"/>
      <c r="P97" s="22"/>
      <c r="Q97" s="23"/>
      <c r="R97" s="23"/>
      <c r="S97" s="22"/>
      <c r="T97" s="21"/>
      <c r="U97"/>
      <c r="V97"/>
      <c r="W97"/>
      <c r="X97"/>
      <c r="Y97"/>
      <c r="Z97" s="12"/>
      <c r="AA97" s="12"/>
      <c r="AB97" s="12"/>
      <c r="AC97" s="12"/>
      <c r="AD97" s="12"/>
      <c r="AE97" s="12"/>
      <c r="AF97" s="12"/>
      <c r="AG97" s="12"/>
      <c r="AH97" s="12"/>
      <c r="AI97" s="12"/>
    </row>
    <row r="98" spans="1:35" s="10" customFormat="1" x14ac:dyDescent="0.35">
      <c r="A98" s="12"/>
      <c r="B98" s="12"/>
      <c r="C98" s="12"/>
      <c r="D98"/>
      <c r="E98" s="24"/>
      <c r="F98" s="23"/>
      <c r="G98" s="23"/>
      <c r="H98" s="26"/>
      <c r="I98" s="22"/>
      <c r="J98" s="22"/>
      <c r="K98" s="22"/>
      <c r="L98" s="22"/>
      <c r="M98" s="21"/>
      <c r="N98" s="22"/>
      <c r="O98" s="22"/>
      <c r="P98" s="22"/>
      <c r="Q98" s="23"/>
      <c r="R98" s="23"/>
      <c r="S98" s="22"/>
      <c r="T98" s="21"/>
      <c r="U98"/>
      <c r="V98"/>
      <c r="W98"/>
      <c r="X98"/>
      <c r="Y98"/>
      <c r="Z98" s="12"/>
      <c r="AA98" s="12"/>
      <c r="AB98" s="12"/>
      <c r="AC98" s="12"/>
      <c r="AD98" s="12"/>
      <c r="AE98" s="12"/>
      <c r="AF98" s="12"/>
      <c r="AG98" s="12"/>
      <c r="AH98" s="12"/>
      <c r="AI98" s="12"/>
    </row>
    <row r="99" spans="1:35" s="10" customFormat="1" x14ac:dyDescent="0.35">
      <c r="A99" s="12"/>
      <c r="B99" s="12"/>
      <c r="C99" s="12"/>
      <c r="D99"/>
      <c r="E99" s="24"/>
      <c r="F99" s="23"/>
      <c r="G99" s="23"/>
      <c r="H99" s="26"/>
      <c r="I99" s="22"/>
      <c r="J99" s="22"/>
      <c r="K99" s="22"/>
      <c r="L99" s="22"/>
      <c r="M99" s="21"/>
      <c r="N99" s="22"/>
      <c r="O99" s="22"/>
      <c r="P99" s="22"/>
      <c r="Q99" s="23"/>
      <c r="R99" s="23"/>
      <c r="S99" s="22"/>
      <c r="T99" s="21"/>
      <c r="U99"/>
      <c r="V99"/>
      <c r="W99"/>
      <c r="X99"/>
      <c r="Y99"/>
      <c r="Z99" s="12"/>
      <c r="AA99" s="12"/>
      <c r="AB99" s="12"/>
      <c r="AC99" s="12"/>
      <c r="AD99" s="12"/>
      <c r="AE99" s="12"/>
      <c r="AF99" s="12"/>
      <c r="AG99" s="12"/>
      <c r="AH99" s="12"/>
      <c r="AI99" s="12"/>
    </row>
    <row r="100" spans="1:35" s="10" customFormat="1" x14ac:dyDescent="0.35">
      <c r="A100" s="12"/>
      <c r="B100" s="12"/>
      <c r="C100" s="12"/>
      <c r="D100"/>
      <c r="E100" s="24"/>
      <c r="F100" s="23"/>
      <c r="G100" s="23"/>
      <c r="H100" s="26"/>
      <c r="I100" s="22"/>
      <c r="J100" s="22"/>
      <c r="K100" s="22"/>
      <c r="L100" s="22"/>
      <c r="M100" s="21"/>
      <c r="N100" s="22"/>
      <c r="O100" s="22"/>
      <c r="P100" s="22"/>
      <c r="Q100" s="23"/>
      <c r="R100" s="23"/>
      <c r="S100" s="22"/>
      <c r="T100" s="21"/>
      <c r="U100"/>
      <c r="V100"/>
      <c r="W100"/>
      <c r="X100"/>
      <c r="Y100"/>
      <c r="Z100" s="12"/>
      <c r="AA100" s="12"/>
      <c r="AB100" s="12"/>
      <c r="AC100" s="12"/>
      <c r="AD100" s="12"/>
      <c r="AE100" s="12"/>
      <c r="AF100" s="12"/>
      <c r="AG100" s="12"/>
      <c r="AH100" s="12"/>
      <c r="AI100" s="12"/>
    </row>
    <row r="101" spans="1:35" s="10" customFormat="1" x14ac:dyDescent="0.35">
      <c r="A101" s="12"/>
      <c r="B101" s="12"/>
      <c r="C101" s="12"/>
      <c r="D101"/>
      <c r="E101" s="24"/>
      <c r="F101" s="23"/>
      <c r="G101" s="23"/>
      <c r="H101" s="26"/>
      <c r="I101" s="22"/>
      <c r="J101" s="22"/>
      <c r="K101" s="22"/>
      <c r="L101" s="22"/>
      <c r="M101" s="21"/>
      <c r="N101" s="22"/>
      <c r="O101" s="22"/>
      <c r="P101" s="22"/>
      <c r="Q101" s="23"/>
      <c r="R101" s="23"/>
      <c r="S101" s="22"/>
      <c r="T101" s="21"/>
      <c r="U101"/>
      <c r="V101"/>
      <c r="W101"/>
      <c r="X101"/>
      <c r="Y101"/>
      <c r="Z101" s="12"/>
      <c r="AA101" s="12"/>
      <c r="AB101" s="12"/>
      <c r="AC101" s="12"/>
      <c r="AD101" s="12"/>
      <c r="AE101" s="12"/>
      <c r="AF101" s="12"/>
      <c r="AG101" s="12"/>
      <c r="AH101" s="12"/>
      <c r="AI101" s="12"/>
    </row>
    <row r="102" spans="1:35" s="10" customFormat="1" x14ac:dyDescent="0.35">
      <c r="A102" s="12"/>
      <c r="B102" s="12"/>
      <c r="C102" s="12"/>
      <c r="D102"/>
      <c r="E102" s="24"/>
      <c r="F102" s="23"/>
      <c r="G102" s="23"/>
      <c r="H102" s="26"/>
      <c r="I102" s="22"/>
      <c r="J102" s="22"/>
      <c r="K102" s="22"/>
      <c r="L102" s="22"/>
      <c r="M102" s="21"/>
      <c r="N102" s="22"/>
      <c r="O102" s="22"/>
      <c r="P102" s="22"/>
      <c r="Q102" s="23"/>
      <c r="R102" s="23"/>
      <c r="S102" s="22"/>
      <c r="T102" s="21"/>
      <c r="U102"/>
      <c r="V102"/>
      <c r="W102"/>
      <c r="X102"/>
      <c r="Y102"/>
      <c r="Z102" s="12"/>
      <c r="AA102" s="12"/>
      <c r="AB102" s="12"/>
      <c r="AC102" s="12"/>
      <c r="AD102" s="12"/>
      <c r="AE102" s="12"/>
      <c r="AF102" s="12"/>
      <c r="AG102" s="12"/>
      <c r="AH102" s="12"/>
      <c r="AI102" s="12"/>
    </row>
    <row r="103" spans="1:35" s="10" customFormat="1" x14ac:dyDescent="0.35">
      <c r="A103" s="12"/>
      <c r="B103" s="12"/>
      <c r="C103" s="12"/>
      <c r="D103"/>
      <c r="E103" s="24"/>
      <c r="F103" s="23"/>
      <c r="G103" s="23"/>
      <c r="H103" s="26"/>
      <c r="I103" s="22"/>
      <c r="J103" s="22"/>
      <c r="K103" s="22"/>
      <c r="L103" s="22"/>
      <c r="M103" s="21"/>
      <c r="N103" s="22"/>
      <c r="O103" s="22"/>
      <c r="P103" s="22"/>
      <c r="Q103" s="23"/>
      <c r="R103" s="23"/>
      <c r="S103" s="22"/>
      <c r="T103" s="21"/>
      <c r="U103"/>
      <c r="V103"/>
      <c r="W103"/>
      <c r="X103"/>
      <c r="Y103"/>
      <c r="Z103" s="12"/>
      <c r="AA103" s="12"/>
      <c r="AB103" s="12"/>
      <c r="AC103" s="12"/>
      <c r="AD103" s="12"/>
      <c r="AE103" s="12"/>
      <c r="AF103" s="12"/>
      <c r="AG103" s="12"/>
      <c r="AH103" s="12"/>
      <c r="AI103" s="12"/>
    </row>
    <row r="104" spans="1:35" s="10" customFormat="1" x14ac:dyDescent="0.35">
      <c r="A104" s="12"/>
      <c r="B104" s="12"/>
      <c r="C104" s="12"/>
      <c r="D104"/>
      <c r="E104" s="24"/>
      <c r="F104" s="23"/>
      <c r="G104" s="23"/>
      <c r="H104" s="26"/>
      <c r="I104" s="22"/>
      <c r="J104" s="22"/>
      <c r="K104" s="22"/>
      <c r="L104" s="22"/>
      <c r="M104" s="21"/>
      <c r="N104" s="22"/>
      <c r="O104" s="22"/>
      <c r="P104" s="22"/>
      <c r="Q104" s="23"/>
      <c r="R104" s="23"/>
      <c r="S104" s="22"/>
      <c r="T104" s="21"/>
      <c r="U104"/>
      <c r="V104"/>
      <c r="W104"/>
      <c r="X104"/>
      <c r="Y104"/>
      <c r="Z104" s="12"/>
      <c r="AA104" s="12"/>
      <c r="AB104" s="12"/>
      <c r="AC104" s="12"/>
      <c r="AD104" s="12"/>
      <c r="AE104" s="12"/>
      <c r="AF104" s="12"/>
      <c r="AG104" s="12"/>
      <c r="AH104" s="12"/>
      <c r="AI104" s="12"/>
    </row>
    <row r="105" spans="1:35" s="10" customFormat="1" x14ac:dyDescent="0.35">
      <c r="A105" s="12"/>
      <c r="B105" s="12"/>
      <c r="C105" s="12"/>
      <c r="D105"/>
      <c r="E105" s="24"/>
      <c r="F105" s="23"/>
      <c r="G105" s="23"/>
      <c r="H105" s="26"/>
      <c r="I105" s="22"/>
      <c r="J105" s="22"/>
      <c r="K105" s="22"/>
      <c r="L105" s="22"/>
      <c r="M105" s="21"/>
      <c r="N105" s="22"/>
      <c r="O105" s="22"/>
      <c r="P105" s="22"/>
      <c r="Q105" s="23"/>
      <c r="R105" s="23"/>
      <c r="S105" s="22"/>
      <c r="T105" s="21"/>
      <c r="U105"/>
      <c r="V105"/>
      <c r="W105"/>
      <c r="X105"/>
      <c r="Y105"/>
      <c r="Z105" s="12"/>
      <c r="AA105" s="12"/>
      <c r="AB105" s="12"/>
      <c r="AC105" s="12"/>
      <c r="AD105" s="12"/>
      <c r="AE105" s="12"/>
      <c r="AF105" s="12"/>
      <c r="AG105" s="12"/>
      <c r="AH105" s="12"/>
      <c r="AI105" s="12"/>
    </row>
    <row r="106" spans="1:35" s="10" customFormat="1" x14ac:dyDescent="0.35">
      <c r="A106" s="12"/>
      <c r="B106" s="12"/>
      <c r="C106" s="12"/>
      <c r="D106"/>
      <c r="E106" s="24"/>
      <c r="F106" s="23"/>
      <c r="G106" s="22"/>
      <c r="H106" s="25"/>
      <c r="I106" s="22"/>
      <c r="J106" s="22"/>
      <c r="K106" s="22"/>
      <c r="L106" s="22"/>
      <c r="M106" s="24"/>
      <c r="N106" s="22"/>
      <c r="O106" s="22"/>
      <c r="P106" s="22"/>
      <c r="Q106" s="22"/>
      <c r="R106" s="22"/>
      <c r="S106" s="22"/>
      <c r="T106" s="19"/>
      <c r="U106"/>
      <c r="V106"/>
      <c r="W106"/>
      <c r="X106"/>
      <c r="Y106"/>
      <c r="Z106" s="12"/>
      <c r="AA106" s="12"/>
      <c r="AB106" s="12"/>
      <c r="AC106" s="12"/>
      <c r="AD106" s="12"/>
      <c r="AE106" s="12"/>
      <c r="AF106" s="12"/>
      <c r="AG106" s="12"/>
      <c r="AH106" s="12"/>
      <c r="AI106" s="12"/>
    </row>
    <row r="107" spans="1:35" s="10" customFormat="1" x14ac:dyDescent="0.35">
      <c r="A107" s="12"/>
      <c r="B107" s="12"/>
      <c r="C107" s="12"/>
      <c r="D107"/>
      <c r="E107" s="24"/>
      <c r="F107" s="23"/>
      <c r="G107" s="22"/>
      <c r="H107" s="22"/>
      <c r="I107" s="22"/>
      <c r="J107" s="22"/>
      <c r="K107" s="22"/>
      <c r="L107" s="22"/>
      <c r="M107" s="21"/>
      <c r="N107" s="22"/>
      <c r="O107" s="22"/>
      <c r="P107" s="22"/>
      <c r="Q107" s="22"/>
      <c r="R107" s="22"/>
      <c r="S107" s="22"/>
      <c r="T107" s="19"/>
      <c r="U107"/>
      <c r="V107"/>
      <c r="W107"/>
      <c r="X107"/>
      <c r="Y107"/>
      <c r="Z107" s="12"/>
      <c r="AA107" s="12"/>
      <c r="AB107" s="12"/>
      <c r="AC107" s="12"/>
      <c r="AD107" s="12"/>
      <c r="AE107" s="12"/>
      <c r="AF107" s="12"/>
      <c r="AG107" s="12"/>
      <c r="AH107" s="12"/>
      <c r="AI107" s="12"/>
    </row>
    <row r="108" spans="1:35" s="10" customFormat="1" x14ac:dyDescent="0.35">
      <c r="A108" s="12"/>
      <c r="B108" s="12"/>
      <c r="C108" s="12"/>
      <c r="D108"/>
      <c r="E108" s="24"/>
      <c r="F108" s="23"/>
      <c r="G108" s="23"/>
      <c r="H108" s="26"/>
      <c r="I108" s="22"/>
      <c r="J108" s="22"/>
      <c r="K108" s="22"/>
      <c r="L108" s="22"/>
      <c r="M108" s="24"/>
      <c r="N108" s="22"/>
      <c r="O108" s="22"/>
      <c r="P108" s="22"/>
      <c r="Q108" s="22"/>
      <c r="R108" s="28"/>
      <c r="S108" s="22"/>
      <c r="T108" s="24"/>
      <c r="U108"/>
      <c r="V108"/>
      <c r="W108"/>
      <c r="X108"/>
      <c r="Y108"/>
      <c r="Z108" s="12"/>
      <c r="AA108" s="12"/>
      <c r="AB108" s="12"/>
      <c r="AC108" s="12"/>
      <c r="AD108" s="12"/>
      <c r="AE108" s="12"/>
      <c r="AF108" s="12"/>
      <c r="AG108" s="12"/>
      <c r="AH108" s="12"/>
      <c r="AI108" s="12"/>
    </row>
    <row r="109" spans="1:35" s="10" customFormat="1" x14ac:dyDescent="0.35">
      <c r="A109" s="12"/>
      <c r="B109" s="12"/>
      <c r="C109" s="12"/>
      <c r="D109"/>
      <c r="E109" s="19"/>
      <c r="F109" s="23"/>
      <c r="G109" s="22"/>
      <c r="H109" s="22"/>
      <c r="I109" s="22"/>
      <c r="J109" s="22"/>
      <c r="K109" s="22"/>
      <c r="L109" s="23"/>
      <c r="M109" s="24"/>
      <c r="N109" s="22"/>
      <c r="O109" s="22"/>
      <c r="P109" s="22"/>
      <c r="Q109" s="22"/>
      <c r="R109" s="28"/>
      <c r="S109" s="22"/>
      <c r="T109" s="24"/>
      <c r="U109"/>
      <c r="V109"/>
      <c r="W109"/>
      <c r="X109"/>
      <c r="Y109"/>
      <c r="Z109" s="12"/>
      <c r="AA109" s="12"/>
      <c r="AB109" s="12"/>
      <c r="AC109" s="12"/>
      <c r="AD109" s="12"/>
      <c r="AE109" s="12"/>
      <c r="AF109" s="12"/>
      <c r="AG109" s="12"/>
      <c r="AH109" s="12"/>
      <c r="AI109" s="12"/>
    </row>
    <row r="110" spans="1:35" s="10" customFormat="1" x14ac:dyDescent="0.35">
      <c r="A110" s="12"/>
      <c r="B110" s="12"/>
      <c r="C110" s="12"/>
      <c r="D110"/>
      <c r="E110" s="19"/>
      <c r="F110" s="23"/>
      <c r="G110" s="22"/>
      <c r="H110" s="25"/>
      <c r="I110" s="22"/>
      <c r="J110" s="22"/>
      <c r="K110" s="22"/>
      <c r="L110" s="23"/>
      <c r="M110" s="24"/>
      <c r="N110" s="22"/>
      <c r="O110" s="22"/>
      <c r="P110" s="22"/>
      <c r="Q110" s="22"/>
      <c r="R110" s="28"/>
      <c r="S110" s="22"/>
      <c r="T110" s="24"/>
      <c r="U110"/>
      <c r="V110"/>
      <c r="W110"/>
      <c r="X110"/>
      <c r="Y110"/>
      <c r="Z110" s="12"/>
      <c r="AA110" s="12"/>
      <c r="AB110" s="12"/>
      <c r="AC110" s="12"/>
      <c r="AD110" s="12"/>
      <c r="AE110" s="12"/>
      <c r="AF110" s="12"/>
      <c r="AG110" s="12"/>
      <c r="AH110" s="12"/>
      <c r="AI110" s="12"/>
    </row>
    <row r="111" spans="1:35" s="10" customFormat="1" x14ac:dyDescent="0.35">
      <c r="A111" s="12"/>
      <c r="B111" s="12"/>
      <c r="C111" s="12"/>
      <c r="D111"/>
      <c r="E111" s="19"/>
      <c r="F111" s="23"/>
      <c r="G111" s="22"/>
      <c r="H111" s="22"/>
      <c r="I111" s="22"/>
      <c r="J111" s="22"/>
      <c r="K111" s="22"/>
      <c r="L111" s="23"/>
      <c r="M111" s="24"/>
      <c r="N111" s="22"/>
      <c r="O111" s="22"/>
      <c r="P111" s="22"/>
      <c r="Q111" s="22"/>
      <c r="R111" s="28"/>
      <c r="S111" s="22"/>
      <c r="T111" s="24"/>
      <c r="U111"/>
      <c r="V111"/>
      <c r="W111"/>
      <c r="X111"/>
      <c r="Y111"/>
      <c r="Z111" s="12"/>
      <c r="AA111" s="12"/>
      <c r="AB111" s="12"/>
      <c r="AC111" s="12"/>
      <c r="AD111" s="12"/>
      <c r="AE111" s="12"/>
      <c r="AF111" s="12"/>
      <c r="AG111" s="12"/>
      <c r="AH111" s="12"/>
      <c r="AI111" s="12"/>
    </row>
    <row r="112" spans="1:35" s="10" customFormat="1" x14ac:dyDescent="0.35">
      <c r="A112" s="12"/>
      <c r="B112" s="12"/>
      <c r="C112" s="12"/>
      <c r="D112"/>
      <c r="E112" s="19"/>
      <c r="F112" s="23"/>
      <c r="G112" s="22"/>
      <c r="H112" s="22"/>
      <c r="I112" s="22"/>
      <c r="J112" s="22"/>
      <c r="K112" s="22"/>
      <c r="L112" s="23"/>
      <c r="M112" s="24"/>
      <c r="N112" s="22"/>
      <c r="O112" s="22"/>
      <c r="P112" s="22"/>
      <c r="Q112" s="22"/>
      <c r="R112" s="28"/>
      <c r="S112" s="22"/>
      <c r="T112" s="24"/>
      <c r="U112"/>
      <c r="V112"/>
      <c r="W112"/>
      <c r="X112"/>
      <c r="Y112"/>
      <c r="Z112" s="12"/>
      <c r="AA112" s="12"/>
      <c r="AB112" s="12"/>
      <c r="AC112" s="12"/>
      <c r="AD112" s="12"/>
      <c r="AE112" s="12"/>
      <c r="AF112" s="12"/>
      <c r="AG112" s="12"/>
      <c r="AH112" s="12"/>
      <c r="AI112" s="12"/>
    </row>
    <row r="113" spans="1:35" s="10" customFormat="1" x14ac:dyDescent="0.35">
      <c r="A113" s="12"/>
      <c r="B113" s="12"/>
      <c r="C113" s="12"/>
      <c r="D113"/>
      <c r="E113" s="24"/>
      <c r="F113" s="23"/>
      <c r="G113" s="23"/>
      <c r="H113" s="23"/>
      <c r="I113" s="22"/>
      <c r="J113" s="22"/>
      <c r="K113" s="22"/>
      <c r="L113" s="22"/>
      <c r="M113" s="24"/>
      <c r="N113" s="22"/>
      <c r="O113" s="22"/>
      <c r="P113" s="22"/>
      <c r="Q113" s="22"/>
      <c r="R113" s="28"/>
      <c r="S113" s="22"/>
      <c r="T113" s="24"/>
      <c r="U113"/>
      <c r="V113"/>
      <c r="W113"/>
      <c r="X113"/>
      <c r="Y113"/>
      <c r="Z113" s="12"/>
      <c r="AA113" s="12"/>
      <c r="AB113" s="12"/>
      <c r="AC113" s="12"/>
      <c r="AD113" s="12"/>
      <c r="AE113" s="12"/>
      <c r="AF113" s="12"/>
      <c r="AG113" s="12"/>
      <c r="AH113" s="12"/>
      <c r="AI113" s="12"/>
    </row>
    <row r="114" spans="1:35" s="10" customFormat="1" x14ac:dyDescent="0.35">
      <c r="A114" s="12"/>
      <c r="B114" s="12"/>
      <c r="C114" s="12"/>
      <c r="D114"/>
      <c r="E114" s="19"/>
      <c r="F114" s="23"/>
      <c r="G114" s="22"/>
      <c r="H114" s="22"/>
      <c r="I114" s="22"/>
      <c r="J114" s="22"/>
      <c r="K114" s="22"/>
      <c r="L114" s="23"/>
      <c r="M114" s="24"/>
      <c r="N114" s="22"/>
      <c r="O114" s="22"/>
      <c r="P114" s="22"/>
      <c r="Q114" s="22"/>
      <c r="R114" s="28"/>
      <c r="S114" s="22"/>
      <c r="T114" s="24"/>
      <c r="U114"/>
      <c r="V114"/>
      <c r="W114"/>
      <c r="X114"/>
      <c r="Y114"/>
      <c r="Z114" s="12"/>
      <c r="AA114" s="12"/>
      <c r="AB114" s="12"/>
      <c r="AC114" s="12"/>
      <c r="AD114" s="12"/>
      <c r="AE114" s="12"/>
      <c r="AF114" s="12"/>
      <c r="AG114" s="12"/>
      <c r="AH114" s="12"/>
      <c r="AI114" s="12"/>
    </row>
    <row r="115" spans="1:35" s="10" customFormat="1" x14ac:dyDescent="0.35">
      <c r="A115" s="12"/>
      <c r="B115" s="12"/>
      <c r="C115" s="12"/>
      <c r="D115"/>
      <c r="E115" s="19"/>
      <c r="F115" s="23"/>
      <c r="G115" s="22"/>
      <c r="H115" s="22"/>
      <c r="I115" s="22"/>
      <c r="J115" s="22"/>
      <c r="K115" s="22"/>
      <c r="L115" s="23"/>
      <c r="M115" s="21"/>
      <c r="N115" s="22"/>
      <c r="O115" s="22"/>
      <c r="P115" s="22"/>
      <c r="Q115" s="22"/>
      <c r="R115" s="28"/>
      <c r="S115" s="22"/>
      <c r="T115" s="24"/>
      <c r="U115"/>
      <c r="V115"/>
      <c r="W115"/>
      <c r="X115"/>
      <c r="Y115"/>
      <c r="Z115" s="12"/>
      <c r="AA115" s="12"/>
      <c r="AB115" s="12"/>
      <c r="AC115" s="12"/>
      <c r="AD115" s="12"/>
      <c r="AE115" s="12"/>
      <c r="AF115" s="12"/>
      <c r="AG115" s="12"/>
      <c r="AH115" s="12"/>
      <c r="AI115" s="12"/>
    </row>
    <row r="116" spans="1:35" s="10" customFormat="1" x14ac:dyDescent="0.35">
      <c r="A116" s="12"/>
      <c r="B116" s="12"/>
      <c r="C116" s="12"/>
      <c r="D116"/>
      <c r="E116" s="21"/>
      <c r="F116" s="23"/>
      <c r="G116" s="23"/>
      <c r="H116" s="23"/>
      <c r="I116" s="22"/>
      <c r="J116" s="22"/>
      <c r="K116" s="22"/>
      <c r="L116" s="22"/>
      <c r="M116" s="21"/>
      <c r="N116" s="22"/>
      <c r="O116" s="22"/>
      <c r="P116" s="22"/>
      <c r="Q116" s="22"/>
      <c r="R116" s="22"/>
      <c r="S116" s="22"/>
      <c r="T116" s="21"/>
      <c r="U116"/>
      <c r="V116"/>
      <c r="W116"/>
      <c r="X116"/>
      <c r="Y116"/>
      <c r="Z116" s="12"/>
      <c r="AA116" s="12"/>
      <c r="AB116" s="12"/>
      <c r="AC116" s="12"/>
      <c r="AD116" s="12"/>
      <c r="AE116" s="12"/>
      <c r="AF116" s="12"/>
      <c r="AG116" s="12"/>
      <c r="AH116" s="12"/>
      <c r="AI116" s="12"/>
    </row>
    <row r="117" spans="1:35" s="10" customFormat="1" x14ac:dyDescent="0.35">
      <c r="A117" s="12"/>
      <c r="B117" s="12"/>
      <c r="C117" s="12"/>
      <c r="D117"/>
      <c r="E117" s="24"/>
      <c r="F117" s="23"/>
      <c r="G117" s="23"/>
      <c r="H117" s="23"/>
      <c r="I117" s="22"/>
      <c r="J117" s="22"/>
      <c r="K117" s="22"/>
      <c r="L117" s="23"/>
      <c r="M117" s="21"/>
      <c r="N117" s="22"/>
      <c r="O117" s="22"/>
      <c r="P117" s="22"/>
      <c r="Q117" s="22"/>
      <c r="R117" s="28"/>
      <c r="S117" s="22"/>
      <c r="T117" s="24"/>
      <c r="U117"/>
      <c r="V117"/>
      <c r="W117"/>
      <c r="X117"/>
      <c r="Y117"/>
      <c r="Z117" s="12"/>
      <c r="AA117" s="12"/>
      <c r="AB117" s="12"/>
      <c r="AC117" s="12"/>
      <c r="AD117" s="12"/>
      <c r="AE117" s="12"/>
      <c r="AF117" s="12"/>
      <c r="AG117" s="12"/>
      <c r="AH117" s="12"/>
      <c r="AI117" s="12"/>
    </row>
    <row r="118" spans="1:35" s="10" customFormat="1" x14ac:dyDescent="0.35">
      <c r="A118" s="12"/>
      <c r="B118" s="12"/>
      <c r="C118" s="12"/>
      <c r="D118"/>
      <c r="E118" s="24"/>
      <c r="F118" s="23"/>
      <c r="G118" s="23"/>
      <c r="H118" s="23"/>
      <c r="I118" s="22"/>
      <c r="J118" s="22"/>
      <c r="K118" s="22"/>
      <c r="L118" s="23"/>
      <c r="M118" s="21"/>
      <c r="N118" s="22"/>
      <c r="O118" s="22"/>
      <c r="P118" s="22"/>
      <c r="Q118" s="22"/>
      <c r="R118" s="28"/>
      <c r="S118" s="22"/>
      <c r="T118" s="24"/>
      <c r="U118"/>
      <c r="V118"/>
      <c r="W118"/>
      <c r="X118"/>
      <c r="Y118"/>
      <c r="Z118" s="12"/>
      <c r="AA118" s="12"/>
      <c r="AB118" s="12"/>
      <c r="AC118" s="12"/>
      <c r="AD118" s="12"/>
      <c r="AE118" s="12"/>
      <c r="AF118" s="12"/>
      <c r="AG118" s="12"/>
      <c r="AH118" s="12"/>
      <c r="AI118" s="12"/>
    </row>
    <row r="119" spans="1:35" s="10" customFormat="1" x14ac:dyDescent="0.35">
      <c r="A119" s="12"/>
      <c r="B119" s="12"/>
      <c r="C119" s="12"/>
      <c r="D119"/>
      <c r="E119" s="24"/>
      <c r="F119" s="23"/>
      <c r="G119" s="23"/>
      <c r="H119" s="23"/>
      <c r="I119" s="22"/>
      <c r="J119" s="22"/>
      <c r="K119" s="22"/>
      <c r="L119" s="22"/>
      <c r="M119" s="21"/>
      <c r="N119" s="22"/>
      <c r="O119" s="22"/>
      <c r="P119" s="22"/>
      <c r="Q119" s="22"/>
      <c r="R119" s="28"/>
      <c r="S119" s="22"/>
      <c r="T119" s="24"/>
      <c r="U119"/>
      <c r="V119"/>
      <c r="W119"/>
      <c r="X119"/>
      <c r="Y119"/>
      <c r="Z119" s="12"/>
      <c r="AA119" s="12"/>
      <c r="AB119" s="12"/>
      <c r="AC119" s="12"/>
      <c r="AD119" s="12"/>
      <c r="AE119" s="12"/>
      <c r="AF119" s="12"/>
      <c r="AG119" s="12"/>
      <c r="AH119" s="12"/>
      <c r="AI119" s="12"/>
    </row>
    <row r="120" spans="1:35" s="10" customFormat="1" x14ac:dyDescent="0.35">
      <c r="A120" s="12"/>
      <c r="B120" s="12"/>
      <c r="C120" s="12"/>
      <c r="D120"/>
      <c r="E120" s="24"/>
      <c r="F120" s="23"/>
      <c r="G120" s="23"/>
      <c r="H120" s="26"/>
      <c r="I120" s="22"/>
      <c r="J120" s="22"/>
      <c r="K120" s="22"/>
      <c r="L120" s="22"/>
      <c r="M120" s="30"/>
      <c r="N120" s="22"/>
      <c r="O120" s="22"/>
      <c r="P120" s="22"/>
      <c r="Q120" s="23"/>
      <c r="R120" s="23"/>
      <c r="S120" s="22"/>
      <c r="T120" s="27"/>
      <c r="U120"/>
      <c r="V120"/>
      <c r="W120"/>
      <c r="X120"/>
      <c r="Y120"/>
      <c r="Z120" s="12"/>
      <c r="AA120" s="12"/>
      <c r="AB120" s="12"/>
      <c r="AC120" s="12"/>
      <c r="AD120" s="12"/>
      <c r="AE120" s="12"/>
      <c r="AF120" s="12"/>
      <c r="AG120" s="12"/>
      <c r="AH120" s="12"/>
      <c r="AI120" s="12"/>
    </row>
    <row r="121" spans="1:35" s="10" customFormat="1" x14ac:dyDescent="0.35">
      <c r="A121" s="12"/>
      <c r="B121" s="12"/>
      <c r="C121" s="12"/>
      <c r="D121"/>
      <c r="E121" s="24"/>
      <c r="F121" s="23"/>
      <c r="G121" s="23"/>
      <c r="H121" s="26"/>
      <c r="I121" s="22"/>
      <c r="J121" s="22"/>
      <c r="K121" s="22"/>
      <c r="L121" s="22"/>
      <c r="M121" s="24"/>
      <c r="N121" s="22"/>
      <c r="O121" s="22"/>
      <c r="P121" s="22"/>
      <c r="Q121" s="23"/>
      <c r="R121" s="23"/>
      <c r="S121" s="22"/>
      <c r="T121" s="24"/>
      <c r="U121"/>
      <c r="V121"/>
      <c r="W121"/>
      <c r="X121"/>
      <c r="Y121"/>
      <c r="Z121" s="12"/>
      <c r="AA121" s="12"/>
      <c r="AB121" s="12"/>
      <c r="AC121" s="12"/>
      <c r="AD121" s="12"/>
      <c r="AE121" s="12"/>
      <c r="AF121" s="12"/>
      <c r="AG121" s="12"/>
      <c r="AH121" s="12"/>
      <c r="AI121" s="12"/>
    </row>
    <row r="122" spans="1:35" s="10" customFormat="1" x14ac:dyDescent="0.35">
      <c r="A122" s="12"/>
      <c r="B122" s="12"/>
      <c r="C122" s="12"/>
      <c r="D122"/>
      <c r="E122" s="24"/>
      <c r="F122" s="23"/>
      <c r="G122" s="23"/>
      <c r="H122" s="26"/>
      <c r="I122" s="22"/>
      <c r="J122" s="22"/>
      <c r="K122" s="22"/>
      <c r="L122" s="22"/>
      <c r="M122" s="24"/>
      <c r="N122" s="22"/>
      <c r="O122" s="22"/>
      <c r="P122" s="22"/>
      <c r="Q122" s="23"/>
      <c r="R122" s="23"/>
      <c r="S122" s="22"/>
      <c r="T122" s="24"/>
      <c r="U122"/>
      <c r="V122"/>
      <c r="W122"/>
      <c r="X122"/>
      <c r="Y122"/>
      <c r="Z122" s="12"/>
      <c r="AA122" s="12"/>
      <c r="AB122" s="12"/>
      <c r="AC122" s="12"/>
      <c r="AD122" s="12"/>
      <c r="AE122" s="12"/>
      <c r="AF122" s="12"/>
      <c r="AG122" s="12"/>
      <c r="AH122" s="12"/>
      <c r="AI122" s="12"/>
    </row>
    <row r="123" spans="1:35" s="10" customFormat="1" x14ac:dyDescent="0.35">
      <c r="A123" s="12"/>
      <c r="B123" s="12"/>
      <c r="C123" s="12"/>
      <c r="D123"/>
      <c r="E123" s="24"/>
      <c r="F123" s="23"/>
      <c r="G123" s="23"/>
      <c r="H123" s="26"/>
      <c r="I123" s="22"/>
      <c r="J123" s="22"/>
      <c r="K123" s="22"/>
      <c r="L123" s="22"/>
      <c r="M123" s="24"/>
      <c r="N123" s="22"/>
      <c r="O123" s="22"/>
      <c r="P123" s="22"/>
      <c r="Q123" s="23"/>
      <c r="R123" s="23"/>
      <c r="S123" s="22"/>
      <c r="T123" s="24"/>
      <c r="U123"/>
      <c r="V123"/>
      <c r="W123"/>
      <c r="X123"/>
      <c r="Y123"/>
      <c r="Z123" s="12"/>
      <c r="AA123" s="12"/>
      <c r="AB123" s="12"/>
      <c r="AC123" s="12"/>
      <c r="AD123" s="12"/>
      <c r="AE123" s="12"/>
      <c r="AF123" s="12"/>
      <c r="AG123" s="12"/>
      <c r="AH123" s="12"/>
      <c r="AI123" s="12"/>
    </row>
    <row r="124" spans="1:35" s="10" customFormat="1" x14ac:dyDescent="0.35">
      <c r="A124" s="12"/>
      <c r="B124" s="12"/>
      <c r="C124" s="12"/>
      <c r="D124"/>
      <c r="E124" s="24"/>
      <c r="F124" s="23"/>
      <c r="G124" s="23"/>
      <c r="H124" s="26"/>
      <c r="I124" s="22"/>
      <c r="J124" s="22"/>
      <c r="K124" s="22"/>
      <c r="L124" s="22"/>
      <c r="M124" s="24"/>
      <c r="N124" s="22"/>
      <c r="O124" s="22"/>
      <c r="P124" s="22"/>
      <c r="Q124" s="23"/>
      <c r="R124" s="23"/>
      <c r="S124" s="22"/>
      <c r="T124" s="24"/>
      <c r="U124"/>
      <c r="V124"/>
      <c r="W124"/>
      <c r="X124"/>
      <c r="Y124"/>
      <c r="Z124" s="12"/>
      <c r="AA124" s="12"/>
      <c r="AB124" s="12"/>
      <c r="AC124" s="12"/>
      <c r="AD124" s="12"/>
      <c r="AE124" s="12"/>
      <c r="AF124" s="12"/>
      <c r="AG124" s="12"/>
      <c r="AH124" s="12"/>
      <c r="AI124" s="12"/>
    </row>
    <row r="125" spans="1:35" s="10" customFormat="1" x14ac:dyDescent="0.35">
      <c r="A125" s="12"/>
      <c r="B125" s="12"/>
      <c r="C125" s="12"/>
      <c r="D125"/>
      <c r="E125" s="24"/>
      <c r="F125" s="23"/>
      <c r="G125" s="23"/>
      <c r="H125" s="26"/>
      <c r="I125" s="22"/>
      <c r="J125" s="22"/>
      <c r="K125" s="22"/>
      <c r="L125" s="22"/>
      <c r="M125" s="21"/>
      <c r="N125" s="22"/>
      <c r="O125" s="22"/>
      <c r="P125" s="22"/>
      <c r="Q125" s="23"/>
      <c r="R125" s="23"/>
      <c r="S125" s="22"/>
      <c r="T125" s="21"/>
      <c r="U125"/>
      <c r="V125"/>
      <c r="W125"/>
      <c r="X125"/>
      <c r="Y125"/>
      <c r="Z125" s="12"/>
      <c r="AA125" s="12"/>
      <c r="AB125" s="12"/>
      <c r="AC125" s="12"/>
      <c r="AD125" s="12"/>
      <c r="AE125" s="12"/>
      <c r="AF125" s="12"/>
      <c r="AG125" s="12"/>
      <c r="AH125" s="12"/>
      <c r="AI125" s="12"/>
    </row>
    <row r="126" spans="1:35" s="10" customFormat="1" x14ac:dyDescent="0.35">
      <c r="A126" s="12"/>
      <c r="B126" s="12"/>
      <c r="C126" s="12"/>
      <c r="D126"/>
      <c r="E126" s="24"/>
      <c r="F126" s="23"/>
      <c r="G126" s="23"/>
      <c r="H126" s="26"/>
      <c r="I126" s="22"/>
      <c r="J126" s="22"/>
      <c r="K126" s="22"/>
      <c r="L126" s="22"/>
      <c r="M126" s="21"/>
      <c r="N126" s="22"/>
      <c r="O126" s="22"/>
      <c r="P126" s="22"/>
      <c r="Q126" s="23"/>
      <c r="R126" s="23"/>
      <c r="S126" s="22"/>
      <c r="T126" s="21"/>
      <c r="U126"/>
      <c r="V126"/>
      <c r="W126"/>
      <c r="X126"/>
      <c r="Y126"/>
      <c r="Z126" s="12"/>
      <c r="AA126" s="12"/>
      <c r="AB126" s="12"/>
      <c r="AC126" s="12"/>
      <c r="AD126" s="12"/>
      <c r="AE126" s="12"/>
      <c r="AF126" s="12"/>
      <c r="AG126" s="12"/>
      <c r="AH126" s="12"/>
      <c r="AI126" s="12"/>
    </row>
    <row r="127" spans="1:35" s="10" customFormat="1" x14ac:dyDescent="0.35">
      <c r="A127" s="12"/>
      <c r="B127" s="12"/>
      <c r="C127" s="12"/>
      <c r="D127"/>
      <c r="E127" s="24"/>
      <c r="F127" s="23"/>
      <c r="G127" s="23"/>
      <c r="H127" s="26"/>
      <c r="I127" s="22"/>
      <c r="J127" s="22"/>
      <c r="K127" s="22"/>
      <c r="L127" s="22"/>
      <c r="M127" s="21"/>
      <c r="N127" s="22"/>
      <c r="O127" s="22"/>
      <c r="P127" s="22"/>
      <c r="Q127" s="23"/>
      <c r="R127" s="23"/>
      <c r="S127" s="22"/>
      <c r="T127" s="21"/>
      <c r="U127"/>
      <c r="V127"/>
      <c r="W127"/>
      <c r="X127"/>
      <c r="Y127"/>
      <c r="Z127" s="12"/>
      <c r="AA127" s="12"/>
      <c r="AB127" s="12"/>
      <c r="AC127" s="12"/>
      <c r="AD127" s="12"/>
      <c r="AE127" s="12"/>
      <c r="AF127" s="12"/>
      <c r="AG127" s="12"/>
      <c r="AH127" s="12"/>
      <c r="AI127" s="12"/>
    </row>
    <row r="128" spans="1:35" s="10" customFormat="1" x14ac:dyDescent="0.35">
      <c r="A128" s="12"/>
      <c r="B128" s="12"/>
      <c r="C128" s="12"/>
      <c r="D128"/>
      <c r="E128" s="24"/>
      <c r="F128" s="23"/>
      <c r="G128" s="23"/>
      <c r="H128" s="26"/>
      <c r="I128" s="22"/>
      <c r="J128" s="22"/>
      <c r="K128" s="22"/>
      <c r="L128" s="22"/>
      <c r="M128" s="21"/>
      <c r="N128" s="22"/>
      <c r="O128" s="22"/>
      <c r="P128" s="22"/>
      <c r="Q128" s="23"/>
      <c r="R128" s="23"/>
      <c r="S128" s="22"/>
      <c r="T128" s="21"/>
      <c r="U128"/>
      <c r="V128"/>
      <c r="W128"/>
      <c r="X128"/>
      <c r="Y128"/>
      <c r="Z128" s="12"/>
      <c r="AA128" s="12"/>
      <c r="AB128" s="12"/>
      <c r="AC128" s="12"/>
      <c r="AD128" s="12"/>
      <c r="AE128" s="12"/>
      <c r="AF128" s="12"/>
      <c r="AG128" s="12"/>
      <c r="AH128" s="12"/>
      <c r="AI128" s="12"/>
    </row>
    <row r="129" spans="1:35" s="10" customFormat="1" x14ac:dyDescent="0.35">
      <c r="A129" s="12"/>
      <c r="B129" s="12"/>
      <c r="C129" s="12"/>
      <c r="D129"/>
      <c r="E129" s="24"/>
      <c r="F129" s="23"/>
      <c r="G129" s="23"/>
      <c r="H129" s="26"/>
      <c r="I129" s="22"/>
      <c r="J129" s="22"/>
      <c r="K129" s="22"/>
      <c r="L129" s="22"/>
      <c r="M129" s="21"/>
      <c r="N129" s="22"/>
      <c r="O129" s="22"/>
      <c r="P129" s="22"/>
      <c r="Q129" s="23"/>
      <c r="R129" s="23"/>
      <c r="S129" s="22"/>
      <c r="T129" s="21"/>
      <c r="U129"/>
      <c r="V129"/>
      <c r="W129"/>
      <c r="X129"/>
      <c r="Y129"/>
      <c r="Z129" s="12"/>
      <c r="AA129" s="12"/>
      <c r="AB129" s="12"/>
      <c r="AC129" s="12"/>
      <c r="AD129" s="12"/>
      <c r="AE129" s="12"/>
      <c r="AF129" s="12"/>
      <c r="AG129" s="12"/>
      <c r="AH129" s="12"/>
      <c r="AI129" s="12"/>
    </row>
    <row r="130" spans="1:35" s="10" customFormat="1" x14ac:dyDescent="0.35">
      <c r="A130" s="12"/>
      <c r="B130" s="12"/>
      <c r="C130" s="12"/>
      <c r="D130"/>
      <c r="E130" s="24"/>
      <c r="F130" s="23"/>
      <c r="G130" s="23"/>
      <c r="H130" s="26"/>
      <c r="I130" s="22"/>
      <c r="J130" s="22"/>
      <c r="K130" s="22"/>
      <c r="L130" s="22"/>
      <c r="M130" s="21"/>
      <c r="N130" s="22"/>
      <c r="O130" s="22"/>
      <c r="P130" s="22"/>
      <c r="Q130" s="23"/>
      <c r="R130" s="23"/>
      <c r="S130" s="22"/>
      <c r="T130" s="21"/>
      <c r="U130"/>
      <c r="V130"/>
      <c r="W130"/>
      <c r="X130"/>
      <c r="Y130"/>
      <c r="Z130" s="12"/>
      <c r="AA130" s="12"/>
      <c r="AB130" s="12"/>
      <c r="AC130" s="12"/>
      <c r="AD130" s="12"/>
      <c r="AE130" s="12"/>
      <c r="AF130" s="12"/>
      <c r="AG130" s="12"/>
      <c r="AH130" s="12"/>
      <c r="AI130" s="12"/>
    </row>
    <row r="131" spans="1:35" s="10" customFormat="1" x14ac:dyDescent="0.35">
      <c r="A131" s="12"/>
      <c r="B131" s="12"/>
      <c r="C131" s="12"/>
      <c r="D131"/>
      <c r="E131" s="21"/>
      <c r="F131" s="23"/>
      <c r="G131" s="23"/>
      <c r="H131" s="26"/>
      <c r="I131" s="22"/>
      <c r="J131" s="22"/>
      <c r="K131" s="22"/>
      <c r="L131" s="22"/>
      <c r="M131" s="21"/>
      <c r="N131" s="22"/>
      <c r="O131" s="22"/>
      <c r="P131" s="22"/>
      <c r="Q131" s="23"/>
      <c r="R131" s="23"/>
      <c r="S131" s="22"/>
      <c r="T131" s="21"/>
      <c r="U131"/>
      <c r="V131"/>
      <c r="W131"/>
      <c r="X131"/>
      <c r="Y131"/>
      <c r="Z131" s="12"/>
      <c r="AA131" s="12"/>
      <c r="AB131" s="12"/>
      <c r="AC131" s="12"/>
      <c r="AD131" s="12"/>
      <c r="AE131" s="12"/>
      <c r="AF131" s="12"/>
      <c r="AG131" s="12"/>
      <c r="AH131" s="12"/>
      <c r="AI131" s="12"/>
    </row>
    <row r="132" spans="1:35" s="10" customFormat="1" x14ac:dyDescent="0.35">
      <c r="A132" s="12"/>
      <c r="B132" s="12"/>
      <c r="C132" s="12"/>
      <c r="D132"/>
      <c r="E132" s="24"/>
      <c r="F132" s="23"/>
      <c r="G132" s="23"/>
      <c r="H132" s="23"/>
      <c r="I132" s="22"/>
      <c r="J132" s="22"/>
      <c r="K132" s="22"/>
      <c r="L132" s="22"/>
      <c r="M132" s="21"/>
      <c r="N132" s="22"/>
      <c r="O132" s="22"/>
      <c r="P132" s="22"/>
      <c r="Q132" s="23"/>
      <c r="R132" s="23"/>
      <c r="S132" s="22"/>
      <c r="T132" s="21"/>
      <c r="U132"/>
      <c r="V132"/>
      <c r="W132"/>
      <c r="X132"/>
      <c r="Y132"/>
      <c r="Z132" s="12"/>
      <c r="AA132" s="12"/>
      <c r="AB132" s="12"/>
      <c r="AC132" s="12"/>
      <c r="AD132" s="12"/>
      <c r="AE132" s="12"/>
      <c r="AF132" s="12"/>
      <c r="AG132" s="12"/>
      <c r="AH132" s="12"/>
      <c r="AI132" s="12"/>
    </row>
    <row r="133" spans="1:35" s="10" customFormat="1" x14ac:dyDescent="0.35">
      <c r="A133" s="12"/>
      <c r="B133" s="12"/>
      <c r="C133" s="12"/>
      <c r="D133"/>
      <c r="E133" s="24"/>
      <c r="F133" s="23"/>
      <c r="G133" s="23"/>
      <c r="H133" s="23"/>
      <c r="I133" s="22"/>
      <c r="J133" s="22"/>
      <c r="K133" s="22"/>
      <c r="L133" s="22"/>
      <c r="M133" s="21"/>
      <c r="N133" s="22"/>
      <c r="O133" s="22"/>
      <c r="P133" s="22"/>
      <c r="Q133" s="23"/>
      <c r="R133" s="23"/>
      <c r="S133" s="22"/>
      <c r="T133" s="21"/>
      <c r="U133"/>
      <c r="V133"/>
      <c r="W133"/>
      <c r="X133"/>
      <c r="Y133"/>
      <c r="Z133" s="12"/>
      <c r="AA133" s="12"/>
      <c r="AB133" s="12"/>
      <c r="AC133" s="12"/>
      <c r="AD133" s="12"/>
      <c r="AE133" s="12"/>
      <c r="AF133" s="12"/>
      <c r="AG133" s="12"/>
      <c r="AH133" s="12"/>
      <c r="AI133" s="12"/>
    </row>
    <row r="134" spans="1:35" s="10" customFormat="1" x14ac:dyDescent="0.35">
      <c r="A134" s="12"/>
      <c r="B134" s="12"/>
      <c r="C134" s="12"/>
      <c r="D134"/>
      <c r="E134" s="24"/>
      <c r="F134" s="23"/>
      <c r="G134" s="23"/>
      <c r="H134" s="23"/>
      <c r="I134" s="22"/>
      <c r="J134" s="22"/>
      <c r="K134" s="22"/>
      <c r="L134" s="22"/>
      <c r="M134" s="21"/>
      <c r="N134" s="22"/>
      <c r="O134" s="22"/>
      <c r="P134" s="22"/>
      <c r="Q134" s="23"/>
      <c r="R134" s="23"/>
      <c r="S134" s="22"/>
      <c r="T134" s="21"/>
      <c r="U134"/>
      <c r="V134"/>
      <c r="W134"/>
      <c r="X134"/>
      <c r="Y134"/>
      <c r="Z134" s="12"/>
      <c r="AA134" s="12"/>
      <c r="AB134" s="12"/>
      <c r="AC134" s="12"/>
      <c r="AD134" s="12"/>
      <c r="AE134" s="12"/>
      <c r="AF134" s="12"/>
      <c r="AG134" s="12"/>
      <c r="AH134" s="12"/>
      <c r="AI134" s="12"/>
    </row>
    <row r="135" spans="1:35" s="10" customFormat="1" x14ac:dyDescent="0.35">
      <c r="A135" s="12"/>
      <c r="B135" s="12"/>
      <c r="C135" s="12"/>
      <c r="D135"/>
      <c r="E135" s="24"/>
      <c r="F135" s="23"/>
      <c r="G135" s="23"/>
      <c r="H135" s="23"/>
      <c r="I135" s="22"/>
      <c r="J135" s="22"/>
      <c r="K135" s="22"/>
      <c r="L135" s="22"/>
      <c r="M135" s="21"/>
      <c r="N135" s="22"/>
      <c r="O135" s="22"/>
      <c r="P135" s="22"/>
      <c r="Q135" s="23"/>
      <c r="R135" s="23"/>
      <c r="S135" s="22"/>
      <c r="T135" s="21"/>
      <c r="U135"/>
      <c r="V135"/>
      <c r="W135"/>
      <c r="X135"/>
      <c r="Y135"/>
      <c r="Z135" s="12"/>
      <c r="AA135" s="12"/>
      <c r="AB135" s="12"/>
      <c r="AC135" s="12"/>
      <c r="AD135" s="12"/>
      <c r="AE135" s="12"/>
      <c r="AF135" s="12"/>
      <c r="AG135" s="12"/>
      <c r="AH135" s="12"/>
      <c r="AI135" s="12"/>
    </row>
    <row r="136" spans="1:35" s="10" customFormat="1" x14ac:dyDescent="0.35">
      <c r="A136" s="12"/>
      <c r="B136" s="12"/>
      <c r="C136" s="12"/>
      <c r="D136"/>
      <c r="E136" s="24"/>
      <c r="F136" s="23"/>
      <c r="G136" s="23"/>
      <c r="H136" s="23"/>
      <c r="I136" s="22"/>
      <c r="J136" s="22"/>
      <c r="K136" s="22"/>
      <c r="L136" s="22"/>
      <c r="M136" s="21"/>
      <c r="N136" s="22"/>
      <c r="O136" s="22"/>
      <c r="P136" s="22"/>
      <c r="Q136" s="23"/>
      <c r="R136" s="23"/>
      <c r="S136" s="22"/>
      <c r="T136" s="21"/>
      <c r="U136"/>
      <c r="V136"/>
      <c r="W136"/>
      <c r="X136"/>
      <c r="Y136"/>
      <c r="Z136" s="12"/>
      <c r="AA136" s="12"/>
      <c r="AB136" s="12"/>
      <c r="AC136" s="12"/>
      <c r="AD136" s="12"/>
      <c r="AE136" s="12"/>
      <c r="AF136" s="12"/>
      <c r="AG136" s="12"/>
      <c r="AH136" s="12"/>
      <c r="AI136" s="12"/>
    </row>
    <row r="137" spans="1:35" s="10" customFormat="1" x14ac:dyDescent="0.35">
      <c r="A137" s="12"/>
      <c r="B137" s="12"/>
      <c r="C137" s="12"/>
      <c r="D137"/>
      <c r="E137" s="24"/>
      <c r="F137" s="23"/>
      <c r="G137" s="23"/>
      <c r="H137" s="23"/>
      <c r="I137" s="22"/>
      <c r="J137" s="22"/>
      <c r="K137" s="22"/>
      <c r="L137" s="22"/>
      <c r="M137" s="21"/>
      <c r="N137" s="22"/>
      <c r="O137" s="22"/>
      <c r="P137" s="22"/>
      <c r="Q137" s="23"/>
      <c r="R137" s="23"/>
      <c r="S137" s="22"/>
      <c r="T137" s="21"/>
      <c r="U137"/>
      <c r="V137"/>
      <c r="W137"/>
      <c r="X137"/>
      <c r="Y137"/>
      <c r="Z137" s="12"/>
      <c r="AA137" s="12"/>
      <c r="AB137" s="12"/>
      <c r="AC137" s="12"/>
      <c r="AD137" s="12"/>
      <c r="AE137" s="12"/>
      <c r="AF137" s="12"/>
      <c r="AG137" s="12"/>
      <c r="AH137" s="12"/>
      <c r="AI137" s="12"/>
    </row>
    <row r="138" spans="1:35" s="10" customFormat="1" x14ac:dyDescent="0.35">
      <c r="A138" s="12"/>
      <c r="B138" s="12"/>
      <c r="C138" s="12"/>
      <c r="D138"/>
      <c r="E138" s="24"/>
      <c r="F138" s="23"/>
      <c r="G138" s="23"/>
      <c r="H138" s="26"/>
      <c r="I138" s="22"/>
      <c r="J138" s="22"/>
      <c r="K138" s="22"/>
      <c r="L138" s="22"/>
      <c r="M138" s="21"/>
      <c r="N138" s="22"/>
      <c r="O138" s="22"/>
      <c r="P138" s="22"/>
      <c r="Q138" s="23"/>
      <c r="R138" s="23"/>
      <c r="S138" s="22"/>
      <c r="T138" s="21"/>
      <c r="U138"/>
      <c r="V138"/>
      <c r="W138"/>
      <c r="X138"/>
      <c r="Y138"/>
      <c r="Z138" s="12"/>
      <c r="AA138" s="12"/>
      <c r="AB138" s="12"/>
      <c r="AC138" s="12"/>
      <c r="AD138" s="12"/>
      <c r="AE138" s="12"/>
      <c r="AF138" s="12"/>
      <c r="AG138" s="12"/>
      <c r="AH138" s="12"/>
      <c r="AI138" s="12"/>
    </row>
    <row r="139" spans="1:35" s="10" customFormat="1" x14ac:dyDescent="0.35">
      <c r="A139" s="12"/>
      <c r="B139" s="12"/>
      <c r="C139" s="12"/>
      <c r="D139"/>
      <c r="E139" s="24"/>
      <c r="F139" s="23"/>
      <c r="G139" s="23"/>
      <c r="H139" s="26"/>
      <c r="I139" s="22"/>
      <c r="J139" s="22"/>
      <c r="K139" s="22"/>
      <c r="L139" s="22"/>
      <c r="M139" s="21"/>
      <c r="N139" s="22"/>
      <c r="O139" s="22"/>
      <c r="P139" s="22"/>
      <c r="Q139" s="22"/>
      <c r="R139" s="28"/>
      <c r="S139" s="22"/>
      <c r="T139" s="21"/>
      <c r="U139"/>
      <c r="V139"/>
      <c r="W139"/>
      <c r="X139"/>
      <c r="Y139"/>
      <c r="Z139" s="12"/>
      <c r="AA139" s="12"/>
      <c r="AB139" s="12"/>
      <c r="AC139" s="12"/>
      <c r="AD139" s="12"/>
      <c r="AE139" s="12"/>
      <c r="AF139" s="12"/>
      <c r="AG139" s="12"/>
      <c r="AH139" s="12"/>
      <c r="AI139" s="12"/>
    </row>
    <row r="140" spans="1:35" s="10" customFormat="1" x14ac:dyDescent="0.35">
      <c r="A140" s="12"/>
      <c r="B140" s="12"/>
      <c r="C140" s="12"/>
      <c r="D140"/>
      <c r="E140" s="21"/>
      <c r="F140" s="23"/>
      <c r="G140" s="23"/>
      <c r="H140" s="26"/>
      <c r="I140" s="22"/>
      <c r="J140" s="22"/>
      <c r="K140" s="22"/>
      <c r="L140" s="22"/>
      <c r="M140" s="21"/>
      <c r="N140" s="22"/>
      <c r="O140" s="22"/>
      <c r="P140" s="22"/>
      <c r="Q140" s="23"/>
      <c r="R140" s="23"/>
      <c r="S140" s="22"/>
      <c r="T140" s="21"/>
      <c r="U140"/>
      <c r="V140"/>
      <c r="W140"/>
      <c r="X140"/>
      <c r="Y140"/>
      <c r="Z140" s="12"/>
      <c r="AA140" s="12"/>
      <c r="AB140" s="12"/>
      <c r="AC140" s="12"/>
      <c r="AD140" s="12"/>
      <c r="AE140" s="12"/>
      <c r="AF140" s="12"/>
      <c r="AG140" s="12"/>
      <c r="AH140" s="12"/>
      <c r="AI140" s="12"/>
    </row>
    <row r="141" spans="1:35" s="10" customFormat="1" x14ac:dyDescent="0.35">
      <c r="A141" s="12"/>
      <c r="B141" s="12"/>
      <c r="C141" s="12"/>
      <c r="D141"/>
      <c r="E141" s="21"/>
      <c r="F141" s="23"/>
      <c r="G141" s="23"/>
      <c r="H141" s="26"/>
      <c r="I141" s="22"/>
      <c r="J141" s="22"/>
      <c r="K141" s="22"/>
      <c r="L141" s="22"/>
      <c r="M141" s="21"/>
      <c r="N141" s="22"/>
      <c r="O141" s="22"/>
      <c r="P141" s="22"/>
      <c r="Q141" s="23"/>
      <c r="R141" s="23"/>
      <c r="S141" s="22"/>
      <c r="T141" s="21"/>
      <c r="U141"/>
      <c r="V141"/>
      <c r="W141"/>
      <c r="X141"/>
      <c r="Y141"/>
      <c r="Z141" s="12"/>
      <c r="AA141" s="12"/>
      <c r="AB141" s="12"/>
      <c r="AC141" s="12"/>
      <c r="AD141" s="12"/>
      <c r="AE141" s="12"/>
      <c r="AF141" s="12"/>
      <c r="AG141" s="12"/>
      <c r="AH141" s="12"/>
      <c r="AI141" s="12"/>
    </row>
    <row r="142" spans="1:35" s="10" customFormat="1" x14ac:dyDescent="0.35">
      <c r="A142" s="12"/>
      <c r="B142" s="12"/>
      <c r="C142" s="12"/>
      <c r="D142"/>
      <c r="E142" s="21"/>
      <c r="F142" s="23"/>
      <c r="G142" s="23"/>
      <c r="H142" s="26"/>
      <c r="I142" s="22"/>
      <c r="J142" s="22"/>
      <c r="K142" s="22"/>
      <c r="L142" s="22"/>
      <c r="M142" s="21"/>
      <c r="N142" s="22"/>
      <c r="O142" s="22"/>
      <c r="P142" s="22"/>
      <c r="Q142" s="23"/>
      <c r="R142" s="23"/>
      <c r="S142" s="22"/>
      <c r="T142" s="21"/>
      <c r="U142"/>
      <c r="V142"/>
      <c r="W142"/>
      <c r="X142"/>
      <c r="Y142"/>
      <c r="Z142" s="12"/>
      <c r="AA142" s="12"/>
      <c r="AB142" s="12"/>
      <c r="AC142" s="12"/>
      <c r="AD142" s="12"/>
      <c r="AE142" s="12"/>
      <c r="AF142" s="12"/>
      <c r="AG142" s="12"/>
      <c r="AH142" s="12"/>
      <c r="AI142" s="12"/>
    </row>
    <row r="143" spans="1:35" s="10" customFormat="1" x14ac:dyDescent="0.35">
      <c r="A143" s="12"/>
      <c r="B143" s="12"/>
      <c r="C143" s="12"/>
      <c r="D143"/>
      <c r="E143" s="21"/>
      <c r="F143" s="23"/>
      <c r="G143" s="23"/>
      <c r="H143" s="26"/>
      <c r="I143" s="22"/>
      <c r="J143" s="22"/>
      <c r="K143" s="22"/>
      <c r="L143" s="22"/>
      <c r="M143" s="21"/>
      <c r="N143" s="22"/>
      <c r="O143" s="22"/>
      <c r="P143" s="22"/>
      <c r="Q143" s="23"/>
      <c r="R143" s="23"/>
      <c r="S143" s="22"/>
      <c r="T143" s="21"/>
      <c r="U143"/>
      <c r="V143"/>
      <c r="W143"/>
      <c r="X143"/>
      <c r="Y143"/>
      <c r="Z143" s="12"/>
      <c r="AA143" s="12"/>
      <c r="AB143" s="12"/>
      <c r="AC143" s="12"/>
      <c r="AD143" s="12"/>
      <c r="AE143" s="12"/>
      <c r="AF143" s="12"/>
      <c r="AG143" s="12"/>
      <c r="AH143" s="12"/>
      <c r="AI143" s="12"/>
    </row>
    <row r="144" spans="1:35" s="10" customFormat="1" x14ac:dyDescent="0.35">
      <c r="A144" s="12"/>
      <c r="B144" s="12"/>
      <c r="C144" s="12"/>
      <c r="D144"/>
      <c r="E144" s="21"/>
      <c r="F144" s="23"/>
      <c r="G144" s="23"/>
      <c r="H144" s="26"/>
      <c r="I144" s="22"/>
      <c r="J144" s="22"/>
      <c r="K144" s="22"/>
      <c r="L144" s="22"/>
      <c r="M144" s="21"/>
      <c r="N144" s="22"/>
      <c r="O144" s="22"/>
      <c r="P144" s="22"/>
      <c r="Q144" s="23"/>
      <c r="R144" s="23"/>
      <c r="S144" s="22"/>
      <c r="T144" s="21"/>
      <c r="U144"/>
      <c r="V144"/>
      <c r="W144"/>
      <c r="X144"/>
      <c r="Y144"/>
      <c r="Z144" s="12"/>
      <c r="AA144" s="12"/>
      <c r="AB144" s="12"/>
      <c r="AC144" s="12"/>
      <c r="AD144" s="12"/>
      <c r="AE144" s="12"/>
      <c r="AF144" s="12"/>
      <c r="AG144" s="12"/>
      <c r="AH144" s="12"/>
      <c r="AI144" s="12"/>
    </row>
    <row r="145" spans="1:35" s="10" customFormat="1" x14ac:dyDescent="0.35">
      <c r="A145" s="12"/>
      <c r="B145" s="12"/>
      <c r="C145" s="12"/>
      <c r="D145"/>
      <c r="E145" s="21"/>
      <c r="F145" s="23"/>
      <c r="G145" s="23"/>
      <c r="H145" s="26"/>
      <c r="I145" s="22"/>
      <c r="J145" s="22"/>
      <c r="K145" s="22"/>
      <c r="L145" s="22"/>
      <c r="M145" s="21"/>
      <c r="N145" s="22"/>
      <c r="O145" s="22"/>
      <c r="P145" s="22"/>
      <c r="Q145" s="23"/>
      <c r="R145" s="23"/>
      <c r="S145" s="22"/>
      <c r="T145" s="21"/>
      <c r="U145"/>
      <c r="V145"/>
      <c r="W145"/>
      <c r="X145"/>
      <c r="Y145"/>
      <c r="Z145" s="12"/>
      <c r="AA145" s="12"/>
      <c r="AB145" s="12"/>
      <c r="AC145" s="12"/>
      <c r="AD145" s="12"/>
      <c r="AE145" s="12"/>
      <c r="AF145" s="12"/>
      <c r="AG145" s="12"/>
      <c r="AH145" s="12"/>
      <c r="AI145" s="12"/>
    </row>
    <row r="146" spans="1:35" s="10" customFormat="1" x14ac:dyDescent="0.35">
      <c r="A146" s="12"/>
      <c r="B146" s="12"/>
      <c r="C146" s="12"/>
      <c r="D146"/>
      <c r="E146" s="22"/>
      <c r="F146" s="22"/>
      <c r="G146" s="22"/>
      <c r="H146" s="22"/>
      <c r="I146" s="22"/>
      <c r="J146" s="22"/>
      <c r="K146" s="22"/>
      <c r="L146" s="22"/>
      <c r="M146" s="22"/>
      <c r="N146" s="22"/>
      <c r="O146" s="22"/>
      <c r="P146" s="22"/>
      <c r="Q146" s="22"/>
      <c r="R146" s="28"/>
      <c r="S146" s="22"/>
      <c r="T146" s="22"/>
      <c r="U146"/>
      <c r="V146"/>
      <c r="W146"/>
      <c r="X146"/>
      <c r="Y146"/>
      <c r="Z146" s="12"/>
      <c r="AA146" s="12"/>
      <c r="AB146" s="12"/>
      <c r="AC146" s="12"/>
      <c r="AD146" s="12"/>
      <c r="AE146" s="12"/>
      <c r="AF146" s="12"/>
      <c r="AG146" s="12"/>
      <c r="AH146" s="12"/>
      <c r="AI146" s="12"/>
    </row>
    <row r="147" spans="1:35" s="10" customFormat="1" x14ac:dyDescent="0.35">
      <c r="A147" s="12"/>
      <c r="B147" s="12"/>
      <c r="C147" s="12"/>
      <c r="D147"/>
      <c r="E147" s="21"/>
      <c r="F147" s="23"/>
      <c r="G147" s="23"/>
      <c r="H147" s="26"/>
      <c r="I147" s="22"/>
      <c r="J147" s="22"/>
      <c r="K147" s="22"/>
      <c r="L147" s="22"/>
      <c r="M147" s="21"/>
      <c r="N147" s="22"/>
      <c r="O147" s="22"/>
      <c r="P147" s="22"/>
      <c r="Q147" s="23"/>
      <c r="R147" s="23"/>
      <c r="S147" s="22"/>
      <c r="T147" s="21"/>
      <c r="U147"/>
      <c r="V147"/>
      <c r="W147"/>
      <c r="X147"/>
      <c r="Y147"/>
      <c r="Z147" s="12"/>
      <c r="AA147" s="12"/>
      <c r="AB147" s="12"/>
      <c r="AC147" s="12"/>
      <c r="AD147" s="12"/>
      <c r="AE147" s="12"/>
      <c r="AF147" s="12"/>
      <c r="AG147" s="12"/>
      <c r="AH147" s="12"/>
      <c r="AI147" s="12"/>
    </row>
    <row r="148" spans="1:35" s="10" customFormat="1" x14ac:dyDescent="0.35">
      <c r="A148" s="12"/>
      <c r="B148" s="12"/>
      <c r="C148" s="12"/>
      <c r="D148"/>
      <c r="E148" s="24"/>
      <c r="F148" s="23"/>
      <c r="G148" s="23"/>
      <c r="H148" s="26"/>
      <c r="I148" s="22"/>
      <c r="J148" s="22"/>
      <c r="K148" s="22"/>
      <c r="L148" s="22"/>
      <c r="M148" s="21"/>
      <c r="N148" s="22"/>
      <c r="O148" s="22"/>
      <c r="P148" s="22"/>
      <c r="Q148" s="23"/>
      <c r="R148" s="23"/>
      <c r="S148" s="22"/>
      <c r="T148" s="21"/>
      <c r="U148"/>
      <c r="V148"/>
      <c r="W148"/>
      <c r="X148"/>
      <c r="Y148"/>
      <c r="Z148" s="12"/>
      <c r="AA148" s="12"/>
      <c r="AB148" s="12"/>
      <c r="AC148" s="12"/>
      <c r="AD148" s="12"/>
      <c r="AE148" s="12"/>
      <c r="AF148" s="12"/>
      <c r="AG148" s="12"/>
      <c r="AH148" s="12"/>
      <c r="AI148" s="12"/>
    </row>
    <row r="149" spans="1:35" s="10" customFormat="1" x14ac:dyDescent="0.35">
      <c r="A149" s="12"/>
      <c r="B149" s="12"/>
      <c r="C149" s="12"/>
      <c r="D149"/>
      <c r="E149" s="24"/>
      <c r="F149" s="23"/>
      <c r="G149" s="23"/>
      <c r="H149" s="26"/>
      <c r="I149" s="22"/>
      <c r="J149" s="22"/>
      <c r="K149" s="22"/>
      <c r="L149" s="22"/>
      <c r="M149" s="21"/>
      <c r="N149" s="22"/>
      <c r="O149" s="22"/>
      <c r="P149" s="22"/>
      <c r="Q149" s="23"/>
      <c r="R149" s="23"/>
      <c r="S149" s="22"/>
      <c r="T149" s="21"/>
      <c r="U149"/>
      <c r="V149"/>
      <c r="W149"/>
      <c r="X149"/>
      <c r="Y149"/>
      <c r="Z149" s="12"/>
      <c r="AA149" s="12"/>
      <c r="AB149" s="12"/>
      <c r="AC149" s="12"/>
      <c r="AD149" s="12"/>
      <c r="AE149" s="12"/>
      <c r="AF149" s="12"/>
      <c r="AG149" s="12"/>
      <c r="AH149" s="12"/>
      <c r="AI149" s="12"/>
    </row>
    <row r="150" spans="1:35" s="10" customFormat="1" x14ac:dyDescent="0.35">
      <c r="A150" s="12"/>
      <c r="B150" s="12"/>
      <c r="C150" s="12"/>
      <c r="D150"/>
      <c r="E150" s="24"/>
      <c r="F150" s="23"/>
      <c r="G150" s="23"/>
      <c r="H150" s="26"/>
      <c r="I150" s="22"/>
      <c r="J150" s="22"/>
      <c r="K150" s="22"/>
      <c r="L150" s="22"/>
      <c r="M150" s="21"/>
      <c r="N150" s="22"/>
      <c r="O150" s="22"/>
      <c r="P150" s="22"/>
      <c r="Q150" s="23"/>
      <c r="R150" s="23"/>
      <c r="S150" s="22"/>
      <c r="T150" s="21"/>
      <c r="U150"/>
      <c r="V150"/>
      <c r="W150"/>
      <c r="X150"/>
      <c r="Y150"/>
      <c r="Z150" s="12"/>
      <c r="AA150" s="12"/>
      <c r="AB150" s="12"/>
      <c r="AC150" s="12"/>
      <c r="AD150" s="12"/>
      <c r="AE150" s="12"/>
      <c r="AF150" s="12"/>
      <c r="AG150" s="12"/>
      <c r="AH150" s="12"/>
      <c r="AI150" s="12"/>
    </row>
    <row r="151" spans="1:35" s="10" customFormat="1" x14ac:dyDescent="0.35">
      <c r="A151" s="12"/>
      <c r="B151" s="12"/>
      <c r="C151" s="12"/>
      <c r="D151"/>
      <c r="E151" s="24"/>
      <c r="F151" s="23"/>
      <c r="G151" s="23"/>
      <c r="H151" s="26"/>
      <c r="I151" s="22"/>
      <c r="J151" s="22"/>
      <c r="K151" s="22"/>
      <c r="L151" s="22"/>
      <c r="M151" s="21"/>
      <c r="N151" s="22"/>
      <c r="O151" s="22"/>
      <c r="P151" s="22"/>
      <c r="Q151" s="23"/>
      <c r="R151" s="23"/>
      <c r="S151" s="22"/>
      <c r="T151" s="21"/>
      <c r="U151"/>
      <c r="V151"/>
      <c r="W151"/>
      <c r="X151"/>
      <c r="Y151"/>
      <c r="Z151" s="12"/>
      <c r="AA151" s="12"/>
      <c r="AB151" s="12"/>
      <c r="AC151" s="12"/>
      <c r="AD151" s="12"/>
      <c r="AE151" s="12"/>
      <c r="AF151" s="12"/>
      <c r="AG151" s="12"/>
      <c r="AH151" s="12"/>
      <c r="AI151" s="12"/>
    </row>
    <row r="152" spans="1:35" s="10" customFormat="1" x14ac:dyDescent="0.35">
      <c r="A152" s="12"/>
      <c r="B152" s="12"/>
      <c r="C152" s="12"/>
      <c r="D152"/>
      <c r="E152" s="24"/>
      <c r="F152" s="23"/>
      <c r="G152" s="23"/>
      <c r="H152" s="26"/>
      <c r="I152" s="22"/>
      <c r="J152" s="22"/>
      <c r="K152" s="22"/>
      <c r="L152" s="22"/>
      <c r="M152" s="21"/>
      <c r="N152" s="22"/>
      <c r="O152" s="22"/>
      <c r="P152" s="22"/>
      <c r="Q152" s="23"/>
      <c r="R152" s="23"/>
      <c r="S152" s="22"/>
      <c r="T152" s="21"/>
      <c r="U152"/>
      <c r="V152"/>
      <c r="W152"/>
      <c r="X152"/>
      <c r="Y152"/>
      <c r="Z152" s="12"/>
      <c r="AA152" s="12"/>
      <c r="AB152" s="12"/>
      <c r="AC152" s="12"/>
      <c r="AD152" s="12"/>
      <c r="AE152" s="12"/>
      <c r="AF152" s="12"/>
      <c r="AG152" s="12"/>
      <c r="AH152" s="12"/>
      <c r="AI152" s="12"/>
    </row>
    <row r="153" spans="1:35" s="10" customFormat="1" x14ac:dyDescent="0.35">
      <c r="A153" s="12"/>
      <c r="B153" s="12"/>
      <c r="C153" s="12"/>
      <c r="D153"/>
      <c r="E153" s="24"/>
      <c r="F153" s="23"/>
      <c r="G153" s="23"/>
      <c r="H153" s="26"/>
      <c r="I153" s="22"/>
      <c r="J153" s="22"/>
      <c r="K153" s="22"/>
      <c r="L153" s="22"/>
      <c r="M153" s="21"/>
      <c r="N153" s="22"/>
      <c r="O153" s="22"/>
      <c r="P153" s="22"/>
      <c r="Q153" s="23"/>
      <c r="R153" s="23"/>
      <c r="S153" s="22"/>
      <c r="T153" s="21"/>
      <c r="U153"/>
      <c r="V153"/>
      <c r="W153"/>
      <c r="X153"/>
      <c r="Y153"/>
      <c r="Z153" s="12"/>
      <c r="AA153" s="12"/>
      <c r="AB153" s="12"/>
      <c r="AC153" s="12"/>
      <c r="AD153" s="12"/>
      <c r="AE153" s="12"/>
      <c r="AF153" s="12"/>
      <c r="AG153" s="12"/>
      <c r="AH153" s="12"/>
      <c r="AI153" s="12"/>
    </row>
    <row r="154" spans="1:35" s="10" customFormat="1" x14ac:dyDescent="0.35">
      <c r="A154" s="12"/>
      <c r="B154" s="12"/>
      <c r="C154" s="12"/>
      <c r="D154"/>
      <c r="E154" s="24"/>
      <c r="F154" s="23"/>
      <c r="G154" s="23"/>
      <c r="H154" s="26"/>
      <c r="I154" s="22"/>
      <c r="J154" s="22"/>
      <c r="K154" s="22"/>
      <c r="L154" s="22"/>
      <c r="M154" s="21"/>
      <c r="N154" s="22"/>
      <c r="O154" s="22"/>
      <c r="P154" s="22"/>
      <c r="Q154" s="23"/>
      <c r="R154" s="23"/>
      <c r="S154" s="22"/>
      <c r="T154" s="21"/>
      <c r="U154"/>
      <c r="V154"/>
      <c r="W154"/>
      <c r="X154"/>
      <c r="Y154"/>
      <c r="Z154" s="12"/>
      <c r="AA154" s="12"/>
      <c r="AB154" s="12"/>
      <c r="AC154" s="12"/>
      <c r="AD154" s="12"/>
      <c r="AE154" s="12"/>
      <c r="AF154" s="12"/>
      <c r="AG154" s="12"/>
      <c r="AH154" s="12"/>
      <c r="AI154" s="12"/>
    </row>
    <row r="155" spans="1:35" s="10" customFormat="1" x14ac:dyDescent="0.35">
      <c r="A155" s="12"/>
      <c r="B155" s="12"/>
      <c r="C155" s="12"/>
      <c r="D155"/>
      <c r="E155" s="24"/>
      <c r="F155" s="23"/>
      <c r="G155" s="23"/>
      <c r="H155" s="26"/>
      <c r="I155" s="22"/>
      <c r="J155" s="22"/>
      <c r="K155" s="22"/>
      <c r="L155" s="22"/>
      <c r="M155" s="21"/>
      <c r="N155" s="22"/>
      <c r="O155" s="22"/>
      <c r="P155" s="22"/>
      <c r="Q155" s="23"/>
      <c r="R155" s="23"/>
      <c r="S155" s="22"/>
      <c r="T155" s="21"/>
      <c r="U155"/>
      <c r="V155"/>
      <c r="W155"/>
      <c r="X155"/>
      <c r="Y155"/>
      <c r="Z155" s="12"/>
      <c r="AA155" s="12"/>
      <c r="AB155" s="12"/>
      <c r="AC155" s="12"/>
      <c r="AD155" s="12"/>
      <c r="AE155" s="12"/>
      <c r="AF155" s="12"/>
      <c r="AG155" s="12"/>
      <c r="AH155" s="12"/>
      <c r="AI155" s="12"/>
    </row>
    <row r="156" spans="1:35" s="10" customFormat="1" x14ac:dyDescent="0.35">
      <c r="A156" s="12"/>
      <c r="B156" s="12"/>
      <c r="C156" s="12"/>
      <c r="D156"/>
      <c r="E156" s="24"/>
      <c r="F156" s="23"/>
      <c r="G156" s="23"/>
      <c r="H156" s="26"/>
      <c r="I156" s="22"/>
      <c r="J156" s="22"/>
      <c r="K156" s="22"/>
      <c r="L156" s="22"/>
      <c r="M156" s="21"/>
      <c r="N156" s="22"/>
      <c r="O156" s="22"/>
      <c r="P156" s="22"/>
      <c r="Q156" s="23"/>
      <c r="R156" s="23"/>
      <c r="S156" s="22"/>
      <c r="T156" s="21"/>
      <c r="U156"/>
      <c r="V156"/>
      <c r="W156"/>
      <c r="X156"/>
      <c r="Y156"/>
      <c r="Z156" s="12"/>
      <c r="AA156" s="12"/>
      <c r="AB156" s="12"/>
      <c r="AC156" s="12"/>
      <c r="AD156" s="12"/>
      <c r="AE156" s="12"/>
      <c r="AF156" s="12"/>
      <c r="AG156" s="12"/>
      <c r="AH156" s="12"/>
      <c r="AI156" s="12"/>
    </row>
    <row r="157" spans="1:35" s="10" customFormat="1" x14ac:dyDescent="0.35">
      <c r="A157" s="12"/>
      <c r="B157" s="12"/>
      <c r="C157" s="12"/>
      <c r="D157"/>
      <c r="E157" s="24"/>
      <c r="F157" s="23"/>
      <c r="G157" s="23"/>
      <c r="H157" s="26"/>
      <c r="I157" s="22"/>
      <c r="J157" s="22"/>
      <c r="K157" s="22"/>
      <c r="L157" s="22"/>
      <c r="M157" s="21"/>
      <c r="N157" s="22"/>
      <c r="O157" s="22"/>
      <c r="P157" s="22"/>
      <c r="Q157" s="23"/>
      <c r="R157" s="23"/>
      <c r="S157" s="22"/>
      <c r="T157" s="21"/>
      <c r="U157"/>
      <c r="V157"/>
      <c r="W157"/>
      <c r="X157"/>
      <c r="Y157"/>
      <c r="Z157" s="12"/>
      <c r="AA157" s="12"/>
      <c r="AB157" s="12"/>
      <c r="AC157" s="12"/>
      <c r="AD157" s="12"/>
      <c r="AE157" s="12"/>
      <c r="AF157" s="12"/>
      <c r="AG157" s="12"/>
      <c r="AH157" s="12"/>
      <c r="AI157" s="12"/>
    </row>
    <row r="158" spans="1:35" s="10" customFormat="1" x14ac:dyDescent="0.35">
      <c r="A158" s="12"/>
      <c r="B158" s="12"/>
      <c r="C158" s="12"/>
      <c r="D158"/>
      <c r="E158" s="24"/>
      <c r="F158" s="23"/>
      <c r="G158" s="23"/>
      <c r="H158" s="26"/>
      <c r="I158" s="22"/>
      <c r="J158" s="22"/>
      <c r="K158" s="22"/>
      <c r="L158" s="22"/>
      <c r="M158" s="21"/>
      <c r="N158" s="22"/>
      <c r="O158" s="22"/>
      <c r="P158" s="22"/>
      <c r="Q158" s="23"/>
      <c r="R158" s="23"/>
      <c r="S158" s="22"/>
      <c r="T158" s="21"/>
      <c r="U158"/>
      <c r="V158"/>
      <c r="W158"/>
      <c r="X158"/>
      <c r="Y158"/>
      <c r="Z158" s="12"/>
      <c r="AA158" s="12"/>
      <c r="AB158" s="12"/>
      <c r="AC158" s="12"/>
      <c r="AD158" s="12"/>
      <c r="AE158" s="12"/>
      <c r="AF158" s="12"/>
      <c r="AG158" s="12"/>
      <c r="AH158" s="12"/>
      <c r="AI158" s="12"/>
    </row>
    <row r="159" spans="1:35" s="10" customFormat="1" x14ac:dyDescent="0.35">
      <c r="A159" s="12"/>
      <c r="B159" s="12"/>
      <c r="C159" s="12"/>
      <c r="D159"/>
      <c r="E159" s="24"/>
      <c r="F159" s="23"/>
      <c r="G159" s="23"/>
      <c r="H159" s="26"/>
      <c r="I159" s="22"/>
      <c r="J159" s="22"/>
      <c r="K159" s="22"/>
      <c r="L159" s="22"/>
      <c r="M159" s="21"/>
      <c r="N159" s="22"/>
      <c r="O159" s="22"/>
      <c r="P159" s="22"/>
      <c r="Q159" s="23"/>
      <c r="R159" s="23"/>
      <c r="S159" s="22"/>
      <c r="T159" s="21"/>
      <c r="U159"/>
      <c r="V159"/>
      <c r="W159"/>
      <c r="X159"/>
      <c r="Y159"/>
      <c r="Z159" s="12"/>
      <c r="AA159" s="12"/>
      <c r="AB159" s="12"/>
      <c r="AC159" s="12"/>
      <c r="AD159" s="12"/>
      <c r="AE159" s="12"/>
      <c r="AF159" s="12"/>
      <c r="AG159" s="12"/>
      <c r="AH159" s="12"/>
      <c r="AI159" s="12"/>
    </row>
    <row r="160" spans="1:35" s="10" customFormat="1" x14ac:dyDescent="0.35">
      <c r="A160" s="12"/>
      <c r="B160" s="12"/>
      <c r="C160" s="12"/>
      <c r="D160"/>
      <c r="E160" s="24"/>
      <c r="F160" s="23"/>
      <c r="G160" s="23"/>
      <c r="H160" s="26"/>
      <c r="I160" s="22"/>
      <c r="J160" s="22"/>
      <c r="K160" s="22"/>
      <c r="L160" s="22"/>
      <c r="M160" s="21"/>
      <c r="N160" s="22"/>
      <c r="O160" s="22"/>
      <c r="P160" s="22"/>
      <c r="Q160" s="23"/>
      <c r="R160" s="23"/>
      <c r="S160" s="22"/>
      <c r="T160" s="21"/>
      <c r="U160"/>
      <c r="V160"/>
      <c r="W160"/>
      <c r="X160"/>
      <c r="Y160"/>
      <c r="Z160" s="12"/>
      <c r="AA160" s="12"/>
      <c r="AB160" s="12"/>
      <c r="AC160" s="12"/>
      <c r="AD160" s="12"/>
      <c r="AE160" s="12"/>
      <c r="AF160" s="12"/>
      <c r="AG160" s="12"/>
      <c r="AH160" s="12"/>
      <c r="AI160" s="12"/>
    </row>
    <row r="161" spans="1:35" s="10" customFormat="1" x14ac:dyDescent="0.35">
      <c r="A161" s="12"/>
      <c r="B161" s="12"/>
      <c r="C161" s="12"/>
      <c r="D161"/>
      <c r="E161" s="24"/>
      <c r="F161" s="23"/>
      <c r="G161" s="23"/>
      <c r="H161" s="26"/>
      <c r="I161" s="22"/>
      <c r="J161" s="22"/>
      <c r="K161" s="22"/>
      <c r="L161" s="22"/>
      <c r="M161" s="21"/>
      <c r="N161" s="22"/>
      <c r="O161" s="22"/>
      <c r="P161" s="22"/>
      <c r="Q161" s="23"/>
      <c r="R161" s="23"/>
      <c r="S161" s="22"/>
      <c r="T161" s="21"/>
      <c r="U161"/>
      <c r="V161"/>
      <c r="W161"/>
      <c r="X161"/>
      <c r="Y161"/>
      <c r="Z161" s="12"/>
      <c r="AA161" s="12"/>
      <c r="AB161" s="12"/>
      <c r="AC161" s="12"/>
      <c r="AD161" s="12"/>
      <c r="AE161" s="12"/>
      <c r="AF161" s="12"/>
      <c r="AG161" s="12"/>
      <c r="AH161" s="12"/>
      <c r="AI161" s="12"/>
    </row>
    <row r="162" spans="1:35" s="10" customFormat="1" x14ac:dyDescent="0.35">
      <c r="A162" s="12"/>
      <c r="B162" s="12"/>
      <c r="C162" s="12"/>
      <c r="D162"/>
      <c r="E162" s="24"/>
      <c r="F162" s="23"/>
      <c r="G162" s="23"/>
      <c r="H162" s="26"/>
      <c r="I162" s="22"/>
      <c r="J162" s="22"/>
      <c r="K162" s="22"/>
      <c r="L162" s="22"/>
      <c r="M162" s="21"/>
      <c r="N162" s="22"/>
      <c r="O162" s="22"/>
      <c r="P162" s="22"/>
      <c r="Q162" s="23"/>
      <c r="R162" s="23"/>
      <c r="S162" s="22"/>
      <c r="T162" s="21"/>
      <c r="U162"/>
      <c r="V162"/>
      <c r="W162"/>
      <c r="X162"/>
      <c r="Y162"/>
      <c r="Z162" s="12"/>
      <c r="AA162" s="12"/>
      <c r="AB162" s="12"/>
      <c r="AC162" s="12"/>
      <c r="AD162" s="12"/>
      <c r="AE162" s="12"/>
      <c r="AF162" s="12"/>
      <c r="AG162" s="12"/>
      <c r="AH162" s="12"/>
      <c r="AI162" s="12"/>
    </row>
    <row r="163" spans="1:35" s="10" customFormat="1" x14ac:dyDescent="0.35">
      <c r="A163" s="12"/>
      <c r="B163" s="12"/>
      <c r="C163" s="12"/>
      <c r="D163"/>
      <c r="E163" s="24"/>
      <c r="F163" s="23"/>
      <c r="G163" s="23"/>
      <c r="H163" s="26"/>
      <c r="I163" s="22"/>
      <c r="J163" s="22"/>
      <c r="K163" s="22"/>
      <c r="L163" s="22"/>
      <c r="M163" s="21"/>
      <c r="N163" s="22"/>
      <c r="O163" s="22"/>
      <c r="P163" s="22"/>
      <c r="Q163" s="23"/>
      <c r="R163" s="23"/>
      <c r="S163" s="22"/>
      <c r="T163" s="21"/>
      <c r="U163"/>
      <c r="V163"/>
      <c r="W163"/>
      <c r="X163"/>
      <c r="Y163"/>
      <c r="Z163" s="12"/>
      <c r="AA163" s="12"/>
      <c r="AB163" s="12"/>
      <c r="AC163" s="12"/>
      <c r="AD163" s="12"/>
      <c r="AE163" s="12"/>
      <c r="AF163" s="12"/>
      <c r="AG163" s="12"/>
      <c r="AH163" s="12"/>
      <c r="AI163" s="12"/>
    </row>
    <row r="164" spans="1:35" s="10" customFormat="1" x14ac:dyDescent="0.35">
      <c r="A164" s="12"/>
      <c r="B164" s="12"/>
      <c r="C164" s="12"/>
      <c r="D164"/>
      <c r="E164" s="24"/>
      <c r="F164" s="23"/>
      <c r="G164" s="23"/>
      <c r="H164" s="26"/>
      <c r="I164" s="22"/>
      <c r="J164" s="22"/>
      <c r="K164" s="22"/>
      <c r="L164" s="22"/>
      <c r="M164" s="21"/>
      <c r="N164" s="22"/>
      <c r="O164" s="22"/>
      <c r="P164" s="22"/>
      <c r="Q164" s="23"/>
      <c r="R164" s="23"/>
      <c r="S164" s="22"/>
      <c r="T164" s="21"/>
      <c r="U164"/>
      <c r="V164"/>
      <c r="W164"/>
      <c r="X164"/>
      <c r="Y164"/>
      <c r="Z164" s="12"/>
      <c r="AA164" s="12"/>
      <c r="AB164" s="12"/>
      <c r="AC164" s="12"/>
      <c r="AD164" s="12"/>
      <c r="AE164" s="12"/>
      <c r="AF164" s="12"/>
      <c r="AG164" s="12"/>
      <c r="AH164" s="12"/>
      <c r="AI164" s="12"/>
    </row>
    <row r="165" spans="1:35" s="10" customFormat="1" x14ac:dyDescent="0.35">
      <c r="A165" s="12"/>
      <c r="B165" s="12"/>
      <c r="C165" s="12"/>
      <c r="D165"/>
      <c r="E165" s="24"/>
      <c r="F165" s="23"/>
      <c r="G165" s="23"/>
      <c r="H165" s="26"/>
      <c r="I165" s="22"/>
      <c r="J165" s="22"/>
      <c r="K165" s="22"/>
      <c r="L165" s="22"/>
      <c r="M165" s="21"/>
      <c r="N165" s="22"/>
      <c r="O165" s="22"/>
      <c r="P165" s="22"/>
      <c r="Q165" s="23"/>
      <c r="R165" s="23"/>
      <c r="S165" s="22"/>
      <c r="T165" s="21"/>
      <c r="U165"/>
      <c r="V165"/>
      <c r="W165"/>
      <c r="X165"/>
      <c r="Y165"/>
      <c r="Z165" s="12"/>
      <c r="AA165" s="12"/>
      <c r="AB165" s="12"/>
      <c r="AC165" s="12"/>
      <c r="AD165" s="12"/>
      <c r="AE165" s="12"/>
      <c r="AF165" s="12"/>
      <c r="AG165" s="12"/>
      <c r="AH165" s="12"/>
      <c r="AI165" s="12"/>
    </row>
    <row r="166" spans="1:35" s="10" customFormat="1" x14ac:dyDescent="0.35">
      <c r="A166" s="12"/>
      <c r="B166" s="12"/>
      <c r="C166" s="12"/>
      <c r="D166"/>
      <c r="E166" s="24"/>
      <c r="F166" s="23"/>
      <c r="G166" s="23"/>
      <c r="H166" s="26"/>
      <c r="I166" s="22"/>
      <c r="J166" s="22"/>
      <c r="K166" s="22"/>
      <c r="L166" s="22"/>
      <c r="M166" s="21"/>
      <c r="N166" s="22"/>
      <c r="O166" s="22"/>
      <c r="P166" s="22"/>
      <c r="Q166" s="23"/>
      <c r="R166" s="23"/>
      <c r="S166" s="22"/>
      <c r="T166" s="21"/>
      <c r="U166"/>
      <c r="V166"/>
      <c r="W166"/>
      <c r="X166"/>
      <c r="Y166"/>
      <c r="Z166" s="12"/>
      <c r="AA166" s="12"/>
      <c r="AB166" s="12"/>
      <c r="AC166" s="12"/>
      <c r="AD166" s="12"/>
      <c r="AE166" s="12"/>
      <c r="AF166" s="12"/>
      <c r="AG166" s="12"/>
      <c r="AH166" s="12"/>
      <c r="AI166" s="12"/>
    </row>
    <row r="167" spans="1:35" s="10" customFormat="1" x14ac:dyDescent="0.35">
      <c r="A167" s="12"/>
      <c r="B167" s="12"/>
      <c r="C167" s="12"/>
      <c r="D167"/>
      <c r="E167" s="24"/>
      <c r="F167" s="23"/>
      <c r="G167" s="23"/>
      <c r="H167" s="26"/>
      <c r="I167" s="22"/>
      <c r="J167" s="22"/>
      <c r="K167" s="22"/>
      <c r="L167" s="22"/>
      <c r="M167" s="21"/>
      <c r="N167" s="22"/>
      <c r="O167" s="22"/>
      <c r="P167" s="22"/>
      <c r="Q167" s="23"/>
      <c r="R167" s="23"/>
      <c r="S167" s="22"/>
      <c r="T167" s="21"/>
      <c r="U167"/>
      <c r="V167"/>
      <c r="W167"/>
      <c r="X167"/>
      <c r="Y167"/>
      <c r="Z167" s="12"/>
      <c r="AA167" s="12"/>
      <c r="AB167" s="12"/>
      <c r="AC167" s="12"/>
      <c r="AD167" s="12"/>
      <c r="AE167" s="12"/>
      <c r="AF167" s="12"/>
      <c r="AG167" s="12"/>
      <c r="AH167" s="12"/>
      <c r="AI167" s="12"/>
    </row>
    <row r="168" spans="1:35" s="10" customFormat="1" x14ac:dyDescent="0.35">
      <c r="A168" s="12"/>
      <c r="B168" s="12"/>
      <c r="C168" s="12"/>
      <c r="D168"/>
      <c r="E168" s="24"/>
      <c r="F168" s="23"/>
      <c r="G168" s="23"/>
      <c r="H168" s="26"/>
      <c r="I168" s="22"/>
      <c r="J168" s="22"/>
      <c r="K168" s="22"/>
      <c r="L168" s="22"/>
      <c r="M168" s="21"/>
      <c r="N168" s="22"/>
      <c r="O168" s="22"/>
      <c r="P168" s="22"/>
      <c r="Q168" s="23"/>
      <c r="R168" s="23"/>
      <c r="S168" s="22"/>
      <c r="T168" s="21"/>
      <c r="U168"/>
      <c r="V168"/>
      <c r="W168"/>
      <c r="X168"/>
      <c r="Y168"/>
      <c r="Z168" s="12"/>
      <c r="AA168" s="12"/>
      <c r="AB168" s="12"/>
      <c r="AC168" s="12"/>
      <c r="AD168" s="12"/>
      <c r="AE168" s="12"/>
      <c r="AF168" s="12"/>
      <c r="AG168" s="12"/>
      <c r="AH168" s="12"/>
      <c r="AI168" s="12"/>
    </row>
    <row r="169" spans="1:35" s="10" customFormat="1" x14ac:dyDescent="0.35">
      <c r="A169" s="12"/>
      <c r="B169" s="12"/>
      <c r="C169" s="12"/>
      <c r="D169"/>
      <c r="E169" s="24"/>
      <c r="F169" s="23"/>
      <c r="G169" s="23"/>
      <c r="H169" s="26"/>
      <c r="I169" s="22"/>
      <c r="J169" s="22"/>
      <c r="K169" s="22"/>
      <c r="L169" s="22"/>
      <c r="M169" s="21"/>
      <c r="N169" s="22"/>
      <c r="O169" s="22"/>
      <c r="P169" s="22"/>
      <c r="Q169" s="23"/>
      <c r="R169" s="23"/>
      <c r="S169" s="22"/>
      <c r="T169" s="21"/>
      <c r="U169"/>
      <c r="V169"/>
      <c r="W169"/>
      <c r="X169"/>
      <c r="Y169"/>
      <c r="Z169" s="12"/>
      <c r="AA169" s="12"/>
      <c r="AB169" s="12"/>
      <c r="AC169" s="12"/>
      <c r="AD169" s="12"/>
      <c r="AE169" s="12"/>
      <c r="AF169" s="12"/>
      <c r="AG169" s="12"/>
      <c r="AH169" s="12"/>
      <c r="AI169" s="12"/>
    </row>
    <row r="170" spans="1:35" s="10" customFormat="1" x14ac:dyDescent="0.35">
      <c r="A170" s="12"/>
      <c r="B170" s="12"/>
      <c r="C170" s="12"/>
      <c r="D170"/>
      <c r="E170" s="24"/>
      <c r="F170" s="23"/>
      <c r="G170" s="23"/>
      <c r="H170" s="26"/>
      <c r="I170" s="22"/>
      <c r="J170" s="22"/>
      <c r="K170" s="22"/>
      <c r="L170" s="22"/>
      <c r="M170" s="21"/>
      <c r="N170" s="22"/>
      <c r="O170" s="22"/>
      <c r="P170" s="22"/>
      <c r="Q170" s="23"/>
      <c r="R170" s="23"/>
      <c r="S170" s="22"/>
      <c r="T170" s="21"/>
      <c r="U170"/>
      <c r="V170"/>
      <c r="W170"/>
      <c r="X170"/>
      <c r="Y170"/>
      <c r="Z170" s="12"/>
      <c r="AA170" s="12"/>
      <c r="AB170" s="12"/>
      <c r="AC170" s="12"/>
      <c r="AD170" s="12"/>
      <c r="AE170" s="12"/>
      <c r="AF170" s="12"/>
      <c r="AG170" s="12"/>
      <c r="AH170" s="12"/>
      <c r="AI170" s="12"/>
    </row>
    <row r="171" spans="1:35" s="10" customFormat="1" x14ac:dyDescent="0.35">
      <c r="A171" s="12"/>
      <c r="B171" s="12"/>
      <c r="C171" s="12"/>
      <c r="D171"/>
      <c r="E171" s="24"/>
      <c r="F171" s="23"/>
      <c r="G171" s="23"/>
      <c r="H171" s="26"/>
      <c r="I171" s="22"/>
      <c r="J171" s="22"/>
      <c r="K171" s="22"/>
      <c r="L171" s="22"/>
      <c r="M171" s="21"/>
      <c r="N171" s="22"/>
      <c r="O171" s="22"/>
      <c r="P171" s="22"/>
      <c r="Q171" s="23"/>
      <c r="R171" s="23"/>
      <c r="S171" s="22"/>
      <c r="T171" s="21"/>
      <c r="U171"/>
      <c r="V171"/>
      <c r="W171"/>
      <c r="X171"/>
      <c r="Y171"/>
      <c r="Z171" s="12"/>
      <c r="AA171" s="12"/>
      <c r="AB171" s="12"/>
      <c r="AC171" s="12"/>
      <c r="AD171" s="12"/>
      <c r="AE171" s="12"/>
      <c r="AF171" s="12"/>
      <c r="AG171" s="12"/>
      <c r="AH171" s="12"/>
      <c r="AI171" s="12"/>
    </row>
    <row r="172" spans="1:35" s="10" customFormat="1" x14ac:dyDescent="0.35">
      <c r="A172" s="12"/>
      <c r="B172" s="12"/>
      <c r="C172" s="12"/>
      <c r="D172"/>
      <c r="E172" s="24"/>
      <c r="F172" s="23"/>
      <c r="G172" s="23"/>
      <c r="H172" s="26"/>
      <c r="I172" s="22"/>
      <c r="J172" s="22"/>
      <c r="K172" s="22"/>
      <c r="L172" s="22"/>
      <c r="M172" s="21"/>
      <c r="N172" s="22"/>
      <c r="O172" s="22"/>
      <c r="P172" s="22"/>
      <c r="Q172" s="23"/>
      <c r="R172" s="23"/>
      <c r="S172" s="22"/>
      <c r="T172" s="21"/>
      <c r="U172"/>
      <c r="V172"/>
      <c r="W172"/>
      <c r="X172"/>
      <c r="Y172"/>
      <c r="Z172" s="12"/>
      <c r="AA172" s="12"/>
      <c r="AB172" s="12"/>
      <c r="AC172" s="12"/>
      <c r="AD172" s="12"/>
      <c r="AE172" s="12"/>
      <c r="AF172" s="12"/>
      <c r="AG172" s="12"/>
      <c r="AH172" s="12"/>
      <c r="AI172" s="12"/>
    </row>
    <row r="173" spans="1:35" s="10" customFormat="1" x14ac:dyDescent="0.35">
      <c r="A173" s="12"/>
      <c r="B173" s="12"/>
      <c r="C173" s="12"/>
      <c r="D173"/>
      <c r="E173" s="24"/>
      <c r="F173" s="23"/>
      <c r="G173" s="23"/>
      <c r="H173" s="26"/>
      <c r="I173" s="22"/>
      <c r="J173" s="22"/>
      <c r="K173" s="22"/>
      <c r="L173" s="22"/>
      <c r="M173" s="21"/>
      <c r="N173" s="22"/>
      <c r="O173" s="22"/>
      <c r="P173" s="22"/>
      <c r="Q173" s="23"/>
      <c r="R173" s="23"/>
      <c r="S173" s="22"/>
      <c r="T173" s="21"/>
      <c r="U173"/>
      <c r="V173"/>
      <c r="W173"/>
      <c r="X173"/>
      <c r="Y173"/>
      <c r="Z173" s="12"/>
      <c r="AA173" s="12"/>
      <c r="AB173" s="12"/>
      <c r="AC173" s="12"/>
      <c r="AD173" s="12"/>
      <c r="AE173" s="12"/>
      <c r="AF173" s="12"/>
      <c r="AG173" s="12"/>
      <c r="AH173" s="12"/>
      <c r="AI173" s="12"/>
    </row>
    <row r="174" spans="1:35" s="10" customFormat="1" x14ac:dyDescent="0.35">
      <c r="A174" s="12"/>
      <c r="B174" s="12"/>
      <c r="C174" s="12"/>
      <c r="D174"/>
      <c r="E174" s="24"/>
      <c r="F174" s="23"/>
      <c r="G174" s="23"/>
      <c r="H174" s="26"/>
      <c r="I174" s="22"/>
      <c r="J174" s="22"/>
      <c r="K174" s="22"/>
      <c r="L174" s="22"/>
      <c r="M174" s="21"/>
      <c r="N174" s="22"/>
      <c r="O174" s="22"/>
      <c r="P174" s="22"/>
      <c r="Q174" s="23"/>
      <c r="R174" s="23"/>
      <c r="S174" s="22"/>
      <c r="T174" s="21"/>
      <c r="U174"/>
      <c r="V174"/>
      <c r="W174"/>
      <c r="X174"/>
      <c r="Y174"/>
      <c r="Z174" s="12"/>
      <c r="AA174" s="12"/>
      <c r="AB174" s="12"/>
      <c r="AC174" s="12"/>
      <c r="AD174" s="12"/>
      <c r="AE174" s="12"/>
      <c r="AF174" s="12"/>
      <c r="AG174" s="12"/>
      <c r="AH174" s="12"/>
      <c r="AI174" s="12"/>
    </row>
    <row r="175" spans="1:35" s="10" customFormat="1" x14ac:dyDescent="0.35">
      <c r="A175" s="12"/>
      <c r="B175" s="12"/>
      <c r="C175" s="12"/>
      <c r="D175"/>
      <c r="E175" s="24"/>
      <c r="F175" s="23"/>
      <c r="G175" s="23"/>
      <c r="H175" s="26"/>
      <c r="I175" s="22"/>
      <c r="J175" s="22"/>
      <c r="K175" s="22"/>
      <c r="L175" s="22"/>
      <c r="M175" s="21"/>
      <c r="N175" s="22"/>
      <c r="O175" s="22"/>
      <c r="P175" s="22"/>
      <c r="Q175" s="23"/>
      <c r="R175" s="23"/>
      <c r="S175" s="22"/>
      <c r="T175" s="21"/>
      <c r="U175"/>
      <c r="V175"/>
      <c r="W175"/>
      <c r="X175"/>
      <c r="Y175"/>
      <c r="Z175" s="12"/>
      <c r="AA175" s="12"/>
      <c r="AB175" s="12"/>
      <c r="AC175" s="12"/>
      <c r="AD175" s="12"/>
      <c r="AE175" s="12"/>
      <c r="AF175" s="12"/>
      <c r="AG175" s="12"/>
      <c r="AH175" s="12"/>
      <c r="AI175" s="12"/>
    </row>
    <row r="176" spans="1:35" s="10" customFormat="1" x14ac:dyDescent="0.35">
      <c r="A176" s="12"/>
      <c r="B176" s="12"/>
      <c r="C176" s="12"/>
      <c r="D176"/>
      <c r="E176" s="24"/>
      <c r="F176" s="23"/>
      <c r="G176" s="23"/>
      <c r="H176" s="26"/>
      <c r="I176" s="22"/>
      <c r="J176" s="22"/>
      <c r="K176" s="22"/>
      <c r="L176" s="22"/>
      <c r="M176" s="21"/>
      <c r="N176" s="22"/>
      <c r="O176" s="22"/>
      <c r="P176" s="22"/>
      <c r="Q176" s="23"/>
      <c r="R176" s="23"/>
      <c r="S176" s="22"/>
      <c r="T176" s="21"/>
      <c r="U176"/>
      <c r="V176"/>
      <c r="W176"/>
      <c r="X176"/>
      <c r="Y176" s="12"/>
      <c r="Z176" s="12"/>
      <c r="AA176" s="12"/>
      <c r="AB176" s="12"/>
      <c r="AC176" s="12"/>
      <c r="AD176" s="12"/>
      <c r="AE176" s="12"/>
      <c r="AF176" s="12"/>
      <c r="AG176" s="12"/>
      <c r="AH176" s="12"/>
      <c r="AI176" s="12"/>
    </row>
    <row r="177" spans="1:35" s="10" customFormat="1" x14ac:dyDescent="0.35">
      <c r="A177" s="12"/>
      <c r="B177" s="12"/>
      <c r="C177" s="12"/>
      <c r="D177"/>
      <c r="E177" s="24"/>
      <c r="F177" s="23"/>
      <c r="G177" s="23"/>
      <c r="H177" s="26"/>
      <c r="I177" s="22"/>
      <c r="J177" s="22"/>
      <c r="K177" s="22"/>
      <c r="L177" s="22"/>
      <c r="M177" s="21"/>
      <c r="N177" s="22"/>
      <c r="O177" s="22"/>
      <c r="P177" s="22"/>
      <c r="Q177" s="23"/>
      <c r="R177" s="23"/>
      <c r="S177" s="22"/>
      <c r="T177" s="21"/>
      <c r="U177"/>
      <c r="V177"/>
      <c r="W177"/>
      <c r="X177"/>
      <c r="Y177" s="12"/>
      <c r="Z177" s="12"/>
      <c r="AA177" s="12"/>
      <c r="AB177" s="12"/>
      <c r="AC177" s="12"/>
      <c r="AD177" s="12"/>
      <c r="AE177" s="12"/>
      <c r="AF177" s="12"/>
      <c r="AG177" s="12"/>
      <c r="AH177" s="12"/>
      <c r="AI177" s="12"/>
    </row>
    <row r="178" spans="1:35" s="10" customFormat="1" x14ac:dyDescent="0.35">
      <c r="A178" s="12"/>
      <c r="B178" s="12"/>
      <c r="C178" s="12"/>
      <c r="D178"/>
      <c r="E178" s="24"/>
      <c r="F178" s="23"/>
      <c r="G178" s="23"/>
      <c r="H178" s="26"/>
      <c r="I178" s="22"/>
      <c r="J178" s="22"/>
      <c r="K178" s="22"/>
      <c r="L178" s="22"/>
      <c r="M178" s="21"/>
      <c r="N178" s="22"/>
      <c r="O178" s="22"/>
      <c r="P178" s="22"/>
      <c r="Q178" s="23"/>
      <c r="R178" s="23"/>
      <c r="S178" s="22"/>
      <c r="T178" s="21"/>
      <c r="U178"/>
      <c r="V178"/>
      <c r="W178"/>
      <c r="X178"/>
      <c r="Y178" s="12"/>
      <c r="Z178" s="12"/>
      <c r="AA178" s="12"/>
      <c r="AB178" s="12"/>
      <c r="AC178" s="12"/>
      <c r="AD178" s="12"/>
      <c r="AE178" s="12"/>
      <c r="AF178" s="12"/>
      <c r="AG178" s="12"/>
      <c r="AH178" s="12"/>
      <c r="AI178" s="12"/>
    </row>
    <row r="179" spans="1:35" s="10" customFormat="1" x14ac:dyDescent="0.35">
      <c r="A179" s="12"/>
      <c r="B179" s="12"/>
      <c r="C179" s="12"/>
      <c r="D179"/>
      <c r="E179" s="24"/>
      <c r="F179" s="23"/>
      <c r="G179" s="23"/>
      <c r="H179" s="26"/>
      <c r="I179" s="22"/>
      <c r="J179" s="22"/>
      <c r="K179" s="22"/>
      <c r="L179" s="22"/>
      <c r="M179" s="21"/>
      <c r="N179" s="22"/>
      <c r="O179" s="22"/>
      <c r="P179" s="22"/>
      <c r="Q179" s="23"/>
      <c r="R179" s="23"/>
      <c r="S179" s="22"/>
      <c r="T179" s="21"/>
      <c r="U179"/>
      <c r="V179"/>
      <c r="W179"/>
      <c r="X179"/>
      <c r="Y179" s="12"/>
      <c r="Z179" s="12"/>
      <c r="AA179" s="12"/>
      <c r="AB179" s="12"/>
      <c r="AC179" s="12"/>
      <c r="AD179" s="12"/>
      <c r="AE179" s="12"/>
      <c r="AF179" s="12"/>
      <c r="AG179" s="12"/>
      <c r="AH179" s="12"/>
      <c r="AI179" s="12"/>
    </row>
    <row r="180" spans="1:35" s="10" customFormat="1" x14ac:dyDescent="0.35">
      <c r="A180" s="12"/>
      <c r="B180" s="12"/>
      <c r="C180" s="12"/>
      <c r="D180"/>
      <c r="E180" s="24"/>
      <c r="F180" s="23"/>
      <c r="G180" s="22"/>
      <c r="H180" s="25"/>
      <c r="I180" s="22"/>
      <c r="J180" s="22"/>
      <c r="K180" s="22"/>
      <c r="L180" s="22"/>
      <c r="M180" s="24"/>
      <c r="N180" s="22"/>
      <c r="O180" s="22"/>
      <c r="P180" s="22"/>
      <c r="Q180" s="22"/>
      <c r="R180" s="22"/>
      <c r="S180" s="22"/>
      <c r="T180" s="19"/>
      <c r="U180"/>
      <c r="V180"/>
      <c r="W180"/>
      <c r="X180"/>
      <c r="Y180" s="12"/>
      <c r="Z180" s="12"/>
      <c r="AA180" s="12"/>
      <c r="AB180" s="12"/>
      <c r="AC180" s="12"/>
      <c r="AD180" s="12"/>
      <c r="AE180" s="12"/>
      <c r="AF180" s="12"/>
      <c r="AG180" s="12"/>
      <c r="AH180" s="12"/>
      <c r="AI180" s="12"/>
    </row>
    <row r="181" spans="1:35" s="10" customFormat="1" x14ac:dyDescent="0.35">
      <c r="A181" s="12"/>
      <c r="B181" s="12"/>
      <c r="C181" s="12"/>
      <c r="D181"/>
      <c r="E181"/>
      <c r="F181"/>
      <c r="G181"/>
      <c r="H181"/>
      <c r="I181"/>
      <c r="J181"/>
      <c r="K181"/>
      <c r="L181"/>
      <c r="M181"/>
      <c r="N181"/>
      <c r="O181"/>
      <c r="P181"/>
      <c r="Q181"/>
      <c r="R181"/>
      <c r="S181"/>
      <c r="T181"/>
      <c r="U181"/>
      <c r="V181"/>
      <c r="W181"/>
      <c r="X181"/>
      <c r="Y181" s="12"/>
      <c r="Z181" s="12"/>
      <c r="AA181" s="12"/>
      <c r="AB181" s="12"/>
      <c r="AC181" s="12"/>
      <c r="AD181" s="12"/>
      <c r="AE181" s="12"/>
      <c r="AF181" s="12"/>
      <c r="AG181" s="12"/>
      <c r="AH181" s="12"/>
      <c r="AI181" s="12"/>
    </row>
    <row r="182" spans="1:35" s="10" customFormat="1" x14ac:dyDescent="0.35">
      <c r="A182" s="12"/>
      <c r="B182" s="12"/>
      <c r="C182" s="12"/>
      <c r="D182"/>
      <c r="E182"/>
      <c r="F182"/>
      <c r="G182"/>
      <c r="H182"/>
      <c r="I182"/>
      <c r="J182"/>
      <c r="K182"/>
      <c r="L182"/>
      <c r="M182"/>
      <c r="N182"/>
      <c r="O182"/>
      <c r="P182"/>
      <c r="Q182"/>
      <c r="R182"/>
      <c r="S182"/>
      <c r="T182"/>
      <c r="U182"/>
      <c r="V182"/>
      <c r="W182"/>
      <c r="X182"/>
      <c r="Y182" s="12"/>
      <c r="Z182" s="12"/>
      <c r="AA182" s="12"/>
      <c r="AB182" s="12"/>
      <c r="AC182" s="12"/>
      <c r="AD182" s="12"/>
      <c r="AE182" s="12"/>
      <c r="AF182" s="12"/>
      <c r="AG182" s="12"/>
      <c r="AH182" s="12"/>
      <c r="AI182" s="12"/>
    </row>
    <row r="183" spans="1:35" s="10" customFormat="1" x14ac:dyDescent="0.35">
      <c r="A183" s="12"/>
      <c r="B183" s="12"/>
      <c r="C183" s="12"/>
      <c r="D183"/>
      <c r="E183"/>
      <c r="F183"/>
      <c r="G183"/>
      <c r="H183"/>
      <c r="I183"/>
      <c r="J183"/>
      <c r="K183"/>
      <c r="L183"/>
      <c r="M183"/>
      <c r="N183"/>
      <c r="O183"/>
      <c r="P183"/>
      <c r="Q183"/>
      <c r="R183"/>
      <c r="S183"/>
      <c r="T183"/>
      <c r="U183"/>
      <c r="V183"/>
      <c r="W183"/>
      <c r="X183"/>
      <c r="Y183" s="12"/>
      <c r="Z183" s="12"/>
      <c r="AA183" s="12"/>
      <c r="AB183" s="12"/>
      <c r="AC183" s="12"/>
      <c r="AD183" s="12"/>
      <c r="AE183" s="12"/>
      <c r="AF183" s="12"/>
      <c r="AG183" s="12"/>
      <c r="AH183" s="12"/>
      <c r="AI183" s="12"/>
    </row>
    <row r="184" spans="1:35" s="10" customFormat="1" x14ac:dyDescent="0.35">
      <c r="A184" s="12"/>
      <c r="B184" s="12"/>
      <c r="C184" s="12"/>
      <c r="D184"/>
      <c r="E184"/>
      <c r="F184"/>
      <c r="G184"/>
      <c r="H184"/>
      <c r="I184"/>
      <c r="J184"/>
      <c r="K184"/>
      <c r="L184"/>
      <c r="M184"/>
      <c r="N184"/>
      <c r="O184"/>
      <c r="P184"/>
      <c r="Q184"/>
      <c r="R184"/>
      <c r="S184"/>
      <c r="T184"/>
      <c r="U184"/>
      <c r="V184"/>
      <c r="W184"/>
      <c r="X184"/>
      <c r="Y184" s="12"/>
      <c r="Z184" s="12"/>
      <c r="AA184" s="12"/>
      <c r="AB184" s="12"/>
      <c r="AC184" s="12"/>
      <c r="AD184" s="12"/>
      <c r="AE184" s="12"/>
      <c r="AF184" s="12"/>
      <c r="AG184" s="12"/>
      <c r="AH184" s="12"/>
      <c r="AI184" s="12"/>
    </row>
    <row r="185" spans="1:35" s="10" customFormat="1" x14ac:dyDescent="0.35">
      <c r="A185" s="12"/>
      <c r="B185" s="12"/>
      <c r="C185" s="12"/>
      <c r="D185"/>
      <c r="E185"/>
      <c r="F185"/>
      <c r="G185"/>
      <c r="H185"/>
      <c r="I185"/>
      <c r="J185"/>
      <c r="K185"/>
      <c r="L185"/>
      <c r="M185"/>
      <c r="N185"/>
      <c r="O185"/>
      <c r="P185"/>
      <c r="Q185"/>
      <c r="R185"/>
      <c r="S185"/>
      <c r="T185"/>
      <c r="U185"/>
      <c r="V185"/>
      <c r="W185"/>
      <c r="X185"/>
      <c r="Y185" s="12"/>
      <c r="Z185" s="12"/>
      <c r="AA185" s="12"/>
      <c r="AB185" s="12"/>
      <c r="AC185" s="12"/>
      <c r="AD185" s="12"/>
      <c r="AE185" s="12"/>
      <c r="AF185" s="12"/>
      <c r="AG185" s="12"/>
      <c r="AH185" s="12"/>
      <c r="AI185" s="12"/>
    </row>
    <row r="186" spans="1:35" s="10" customFormat="1" x14ac:dyDescent="0.35">
      <c r="A186" s="12"/>
      <c r="B186" s="12"/>
      <c r="C186" s="12"/>
      <c r="D186"/>
      <c r="E186"/>
      <c r="F186"/>
      <c r="G186"/>
      <c r="H186"/>
      <c r="I186"/>
      <c r="J186"/>
      <c r="K186"/>
      <c r="L186"/>
      <c r="M186"/>
      <c r="N186"/>
      <c r="O186"/>
      <c r="P186"/>
      <c r="Q186"/>
      <c r="R186"/>
      <c r="S186"/>
      <c r="T186"/>
      <c r="U186"/>
      <c r="V186"/>
      <c r="W186"/>
      <c r="X186"/>
      <c r="Y186" s="12"/>
      <c r="Z186" s="12"/>
      <c r="AA186" s="12"/>
      <c r="AB186" s="12"/>
      <c r="AC186" s="12"/>
      <c r="AD186" s="12"/>
      <c r="AE186" s="12"/>
      <c r="AF186" s="12"/>
      <c r="AG186" s="12"/>
      <c r="AH186" s="12"/>
      <c r="AI186" s="12"/>
    </row>
    <row r="187" spans="1:35" s="10" customFormat="1" x14ac:dyDescent="0.35">
      <c r="A187" s="12"/>
      <c r="B187" s="12"/>
      <c r="C187" s="12"/>
      <c r="D187"/>
      <c r="E187"/>
      <c r="F187"/>
      <c r="G187"/>
      <c r="H187"/>
      <c r="I187"/>
      <c r="J187"/>
      <c r="K187"/>
      <c r="L187"/>
      <c r="M187"/>
      <c r="N187"/>
      <c r="O187"/>
      <c r="P187"/>
      <c r="Q187"/>
      <c r="R187"/>
      <c r="S187"/>
      <c r="T187"/>
      <c r="U187"/>
      <c r="V187"/>
      <c r="W187"/>
      <c r="X187"/>
      <c r="Y187" s="12"/>
      <c r="Z187" s="12"/>
      <c r="AA187" s="12"/>
      <c r="AB187" s="12"/>
      <c r="AC187" s="12"/>
      <c r="AD187" s="12"/>
      <c r="AE187" s="12"/>
      <c r="AF187" s="12"/>
      <c r="AG187" s="12"/>
      <c r="AH187" s="12"/>
      <c r="AI187" s="12"/>
    </row>
    <row r="188" spans="1:35" s="10" customFormat="1" x14ac:dyDescent="0.35">
      <c r="A188" s="12"/>
      <c r="B188" s="12"/>
      <c r="C188" s="12"/>
      <c r="D188"/>
      <c r="E188"/>
      <c r="F188"/>
      <c r="G188"/>
      <c r="H188"/>
      <c r="I188"/>
      <c r="J188"/>
      <c r="K188"/>
      <c r="L188"/>
      <c r="M188"/>
      <c r="N188"/>
      <c r="O188"/>
      <c r="P188"/>
      <c r="Q188"/>
      <c r="R188"/>
      <c r="S188"/>
      <c r="T188"/>
      <c r="U188"/>
      <c r="V188"/>
      <c r="W188"/>
      <c r="X188"/>
      <c r="Y188" s="12"/>
      <c r="Z188" s="12"/>
      <c r="AA188" s="12"/>
      <c r="AB188" s="12"/>
      <c r="AC188" s="12"/>
      <c r="AD188" s="12"/>
      <c r="AE188" s="12"/>
      <c r="AF188" s="12"/>
      <c r="AG188" s="12"/>
      <c r="AH188" s="12"/>
      <c r="AI188" s="12"/>
    </row>
    <row r="189" spans="1:35" s="10" customFormat="1" x14ac:dyDescent="0.35">
      <c r="A189" s="12"/>
      <c r="B189" s="12"/>
      <c r="C189" s="12"/>
      <c r="D189"/>
      <c r="E189"/>
      <c r="F189"/>
      <c r="G189"/>
      <c r="H189"/>
      <c r="I189"/>
      <c r="J189"/>
      <c r="K189"/>
      <c r="L189"/>
      <c r="M189"/>
      <c r="N189"/>
      <c r="O189"/>
      <c r="P189"/>
      <c r="Q189"/>
      <c r="R189"/>
      <c r="S189"/>
      <c r="T189"/>
      <c r="U189"/>
      <c r="V189"/>
      <c r="W189"/>
      <c r="X189"/>
      <c r="Y189" s="12"/>
      <c r="Z189" s="12"/>
      <c r="AA189" s="12"/>
      <c r="AB189" s="12"/>
      <c r="AC189" s="12"/>
      <c r="AD189" s="12"/>
      <c r="AE189" s="12"/>
      <c r="AF189" s="12"/>
      <c r="AG189" s="12"/>
      <c r="AH189" s="12"/>
      <c r="AI189" s="12"/>
    </row>
    <row r="190" spans="1:35" s="10" customFormat="1" x14ac:dyDescent="0.35">
      <c r="A190" s="12"/>
      <c r="B190" s="12"/>
      <c r="C190" s="12"/>
      <c r="D190"/>
      <c r="E190"/>
      <c r="F190"/>
      <c r="G190"/>
      <c r="H190"/>
      <c r="I190"/>
      <c r="J190"/>
      <c r="K190"/>
      <c r="L190"/>
      <c r="M190"/>
      <c r="N190"/>
      <c r="O190"/>
      <c r="P190"/>
      <c r="Q190"/>
      <c r="R190"/>
      <c r="S190"/>
      <c r="T190"/>
      <c r="U190"/>
      <c r="V190"/>
      <c r="W190"/>
      <c r="X190"/>
      <c r="Y190" s="12"/>
      <c r="Z190" s="12"/>
      <c r="AA190" s="12"/>
      <c r="AB190" s="12"/>
      <c r="AC190" s="12"/>
      <c r="AD190" s="12"/>
      <c r="AE190" s="12"/>
      <c r="AF190" s="12"/>
      <c r="AG190" s="12"/>
      <c r="AH190" s="12"/>
      <c r="AI190" s="12"/>
    </row>
    <row r="191" spans="1:35" s="10" customFormat="1" x14ac:dyDescent="0.35">
      <c r="A191" s="12"/>
      <c r="B191" s="12"/>
      <c r="C191" s="12"/>
      <c r="D191"/>
      <c r="E191"/>
      <c r="F191"/>
      <c r="G191"/>
      <c r="H191"/>
      <c r="I191"/>
      <c r="J191"/>
      <c r="K191"/>
      <c r="L191"/>
      <c r="M191"/>
      <c r="N191"/>
      <c r="O191"/>
      <c r="P191"/>
      <c r="Q191"/>
      <c r="R191"/>
      <c r="S191"/>
      <c r="T191"/>
      <c r="U191"/>
      <c r="V191"/>
      <c r="W191"/>
      <c r="X191"/>
      <c r="Y191" s="12"/>
      <c r="Z191" s="12"/>
      <c r="AA191" s="12"/>
      <c r="AB191" s="12"/>
      <c r="AC191" s="12"/>
      <c r="AD191" s="12"/>
      <c r="AE191" s="12"/>
      <c r="AF191" s="12"/>
      <c r="AG191" s="12"/>
      <c r="AH191" s="12"/>
      <c r="AI191" s="12"/>
    </row>
    <row r="192" spans="1:35" s="10" customFormat="1" x14ac:dyDescent="0.35">
      <c r="A192" s="12"/>
      <c r="B192" s="12"/>
      <c r="C192" s="12"/>
      <c r="D192"/>
      <c r="E192"/>
      <c r="F192"/>
      <c r="G192"/>
      <c r="H192"/>
      <c r="I192"/>
      <c r="J192"/>
      <c r="K192"/>
      <c r="L192"/>
      <c r="M192"/>
      <c r="N192"/>
      <c r="O192"/>
      <c r="P192"/>
      <c r="Q192"/>
      <c r="R192"/>
      <c r="S192"/>
      <c r="T192"/>
      <c r="U192"/>
      <c r="V192"/>
      <c r="W192"/>
      <c r="X192"/>
      <c r="Y192" s="12"/>
      <c r="Z192" s="12"/>
      <c r="AA192" s="12"/>
      <c r="AB192" s="12"/>
      <c r="AC192" s="12"/>
      <c r="AD192" s="12"/>
      <c r="AE192" s="12"/>
      <c r="AF192" s="12"/>
      <c r="AG192" s="12"/>
      <c r="AH192" s="12"/>
      <c r="AI192" s="12"/>
    </row>
    <row r="193" spans="1:35" s="10" customFormat="1" x14ac:dyDescent="0.35">
      <c r="A193" s="12"/>
      <c r="B193" s="12"/>
      <c r="C193" s="12"/>
      <c r="D193"/>
      <c r="E193" s="24"/>
      <c r="F193" s="23"/>
      <c r="G193" s="22"/>
      <c r="H193" s="22"/>
      <c r="I193" s="22"/>
      <c r="J193" s="22"/>
      <c r="K193" s="22"/>
      <c r="L193" s="22"/>
      <c r="M193" s="21"/>
      <c r="N193" s="22"/>
      <c r="O193" s="22"/>
      <c r="P193" s="22"/>
      <c r="Q193" s="22"/>
      <c r="R193" s="22"/>
      <c r="S193" s="22"/>
      <c r="T193" s="19"/>
      <c r="U193"/>
      <c r="V193"/>
      <c r="W193"/>
      <c r="X193"/>
      <c r="Y193"/>
      <c r="Z193" s="12"/>
      <c r="AA193" s="12"/>
      <c r="AB193" s="12"/>
      <c r="AC193" s="12"/>
      <c r="AD193" s="12"/>
      <c r="AE193" s="12"/>
      <c r="AF193" s="12"/>
      <c r="AG193" s="12"/>
      <c r="AH193" s="12"/>
      <c r="AI193" s="12"/>
    </row>
    <row r="194" spans="1:35" s="10" customFormat="1" x14ac:dyDescent="0.35">
      <c r="A194" s="12"/>
      <c r="B194" s="12"/>
      <c r="C194" s="12"/>
      <c r="D194"/>
      <c r="E194" s="24"/>
      <c r="F194" s="23"/>
      <c r="G194" s="23"/>
      <c r="H194" s="26"/>
      <c r="I194" s="22"/>
      <c r="J194" s="22"/>
      <c r="K194" s="22"/>
      <c r="L194" s="22"/>
      <c r="M194" s="24"/>
      <c r="N194" s="22"/>
      <c r="O194" s="22"/>
      <c r="P194" s="22"/>
      <c r="Q194" s="22"/>
      <c r="R194" s="28"/>
      <c r="S194" s="22"/>
      <c r="T194" s="24"/>
      <c r="U194"/>
      <c r="V194"/>
      <c r="W194"/>
      <c r="X194"/>
      <c r="Y194"/>
      <c r="Z194" s="12"/>
      <c r="AA194" s="12"/>
      <c r="AB194" s="12"/>
      <c r="AC194" s="12"/>
      <c r="AD194" s="12"/>
      <c r="AE194" s="12"/>
      <c r="AF194" s="12"/>
      <c r="AG194" s="12"/>
      <c r="AH194" s="12"/>
      <c r="AI194" s="12"/>
    </row>
    <row r="195" spans="1:35" s="10" customFormat="1" x14ac:dyDescent="0.35">
      <c r="A195" s="12"/>
      <c r="B195" s="12"/>
      <c r="C195" s="12"/>
      <c r="D195"/>
      <c r="E195" s="19"/>
      <c r="F195" s="23"/>
      <c r="G195" s="22"/>
      <c r="H195" s="22"/>
      <c r="I195" s="22"/>
      <c r="J195" s="22"/>
      <c r="K195" s="22"/>
      <c r="L195" s="23"/>
      <c r="M195" s="24"/>
      <c r="N195" s="22"/>
      <c r="O195" s="22"/>
      <c r="P195" s="22"/>
      <c r="Q195" s="22"/>
      <c r="R195" s="28"/>
      <c r="S195" s="22"/>
      <c r="T195" s="24"/>
      <c r="U195"/>
      <c r="V195"/>
      <c r="W195"/>
      <c r="X195"/>
      <c r="Y195"/>
      <c r="Z195" s="12"/>
      <c r="AA195" s="12"/>
      <c r="AB195" s="12"/>
      <c r="AC195" s="12"/>
      <c r="AD195" s="12"/>
      <c r="AE195" s="12"/>
      <c r="AF195" s="12"/>
      <c r="AG195" s="12"/>
      <c r="AH195" s="12"/>
      <c r="AI195" s="12"/>
    </row>
    <row r="196" spans="1:35" s="10" customFormat="1" x14ac:dyDescent="0.35">
      <c r="A196" s="12"/>
      <c r="B196" s="12"/>
      <c r="C196" s="12"/>
      <c r="D196"/>
      <c r="E196" s="19"/>
      <c r="F196" s="23"/>
      <c r="G196" s="22"/>
      <c r="H196" s="22"/>
      <c r="I196" s="22"/>
      <c r="J196" s="22"/>
      <c r="K196" s="22"/>
      <c r="L196" s="23"/>
      <c r="M196" s="24"/>
      <c r="N196" s="22"/>
      <c r="O196" s="22"/>
      <c r="P196" s="22"/>
      <c r="Q196" s="22"/>
      <c r="R196" s="28"/>
      <c r="S196" s="22"/>
      <c r="T196" s="24"/>
      <c r="U196"/>
      <c r="V196"/>
      <c r="W196"/>
      <c r="X196"/>
      <c r="Y196"/>
      <c r="Z196" s="12"/>
      <c r="AA196" s="12"/>
      <c r="AB196" s="12"/>
      <c r="AC196" s="12"/>
      <c r="AD196" s="12"/>
      <c r="AE196" s="12"/>
      <c r="AF196" s="12"/>
      <c r="AG196" s="12"/>
      <c r="AH196" s="12"/>
      <c r="AI196" s="12"/>
    </row>
    <row r="197" spans="1:35" s="10" customFormat="1" x14ac:dyDescent="0.35">
      <c r="A197" s="12"/>
      <c r="B197" s="12"/>
      <c r="C197" s="12"/>
      <c r="D197"/>
      <c r="E197" s="19"/>
      <c r="F197" s="23"/>
      <c r="G197" s="22"/>
      <c r="H197" s="25"/>
      <c r="I197" s="22"/>
      <c r="J197" s="22"/>
      <c r="K197" s="22"/>
      <c r="L197" s="23"/>
      <c r="M197" s="24"/>
      <c r="N197" s="22"/>
      <c r="O197" s="22"/>
      <c r="P197" s="22"/>
      <c r="Q197" s="22"/>
      <c r="R197" s="28"/>
      <c r="S197" s="22"/>
      <c r="T197" s="24"/>
      <c r="U197"/>
      <c r="V197"/>
      <c r="W197"/>
      <c r="X197"/>
      <c r="Y197"/>
      <c r="Z197" s="12"/>
      <c r="AA197" s="12"/>
      <c r="AB197" s="12"/>
      <c r="AC197" s="12"/>
      <c r="AD197" s="12"/>
      <c r="AE197" s="12"/>
      <c r="AF197" s="12"/>
      <c r="AG197" s="12"/>
      <c r="AH197" s="12"/>
      <c r="AI197" s="12"/>
    </row>
    <row r="198" spans="1:35" s="10" customFormat="1" x14ac:dyDescent="0.35">
      <c r="A198" s="12"/>
      <c r="B198" s="12"/>
      <c r="C198" s="12"/>
      <c r="D198"/>
      <c r="E198" s="19"/>
      <c r="F198" s="23"/>
      <c r="G198" s="22"/>
      <c r="H198" s="22"/>
      <c r="I198" s="22"/>
      <c r="J198" s="22"/>
      <c r="K198" s="22"/>
      <c r="L198" s="23"/>
      <c r="M198" s="24"/>
      <c r="N198" s="22"/>
      <c r="O198" s="22"/>
      <c r="P198" s="22"/>
      <c r="Q198" s="22"/>
      <c r="R198" s="28"/>
      <c r="S198" s="22"/>
      <c r="T198" s="24"/>
      <c r="U198"/>
      <c r="V198"/>
      <c r="W198"/>
      <c r="X198"/>
      <c r="Y198"/>
      <c r="Z198" s="12"/>
      <c r="AA198" s="12"/>
      <c r="AB198" s="12"/>
      <c r="AC198" s="12"/>
      <c r="AD198" s="12"/>
      <c r="AE198" s="12"/>
      <c r="AF198" s="12"/>
      <c r="AG198" s="12"/>
      <c r="AH198" s="12"/>
      <c r="AI198" s="12"/>
    </row>
    <row r="199" spans="1:35" s="10" customFormat="1" x14ac:dyDescent="0.35">
      <c r="A199" s="12"/>
      <c r="B199" s="12"/>
      <c r="C199" s="12"/>
      <c r="D199"/>
      <c r="E199" s="19"/>
      <c r="F199" s="23"/>
      <c r="G199" s="22"/>
      <c r="H199" s="22"/>
      <c r="I199" s="22"/>
      <c r="J199" s="22"/>
      <c r="K199" s="22"/>
      <c r="L199" s="23"/>
      <c r="M199" s="24"/>
      <c r="N199" s="22"/>
      <c r="O199" s="22"/>
      <c r="P199" s="22"/>
      <c r="Q199" s="22"/>
      <c r="R199" s="28"/>
      <c r="S199" s="22"/>
      <c r="T199" s="24"/>
      <c r="U199"/>
      <c r="V199"/>
      <c r="W199"/>
      <c r="X199"/>
      <c r="Y199"/>
      <c r="Z199" s="12"/>
      <c r="AA199" s="12"/>
      <c r="AB199" s="12"/>
      <c r="AC199" s="12"/>
      <c r="AD199" s="12"/>
      <c r="AE199" s="12"/>
      <c r="AF199" s="12"/>
      <c r="AG199" s="12"/>
      <c r="AH199" s="12"/>
      <c r="AI199" s="12"/>
    </row>
    <row r="200" spans="1:35" s="10" customFormat="1" x14ac:dyDescent="0.35">
      <c r="A200" s="12"/>
      <c r="B200" s="12"/>
      <c r="C200" s="12"/>
      <c r="D200"/>
      <c r="E200" s="22"/>
      <c r="F200" s="23"/>
      <c r="G200" s="22"/>
      <c r="H200" s="22"/>
      <c r="I200" s="22"/>
      <c r="J200" s="22"/>
      <c r="K200" s="22"/>
      <c r="L200" s="23"/>
      <c r="M200" s="24"/>
      <c r="N200" s="22"/>
      <c r="O200" s="22"/>
      <c r="P200" s="22"/>
      <c r="Q200" s="22"/>
      <c r="R200" s="28"/>
      <c r="S200" s="22"/>
      <c r="T200" s="24"/>
      <c r="U200"/>
      <c r="V200"/>
      <c r="W200"/>
      <c r="X200"/>
      <c r="Y200"/>
      <c r="Z200" s="12"/>
      <c r="AA200" s="12"/>
      <c r="AB200" s="12"/>
      <c r="AC200" s="12"/>
      <c r="AD200" s="12"/>
      <c r="AE200" s="12"/>
      <c r="AF200" s="12"/>
      <c r="AG200" s="12"/>
      <c r="AH200" s="12"/>
      <c r="AI200" s="12"/>
    </row>
    <row r="201" spans="1:35" s="10" customFormat="1" x14ac:dyDescent="0.35">
      <c r="A201" s="12"/>
      <c r="B201" s="12"/>
      <c r="C201" s="12"/>
      <c r="D201"/>
      <c r="E201" s="22"/>
      <c r="F201" s="23"/>
      <c r="G201" s="22"/>
      <c r="H201" s="22"/>
      <c r="I201" s="22"/>
      <c r="J201" s="22"/>
      <c r="K201" s="22"/>
      <c r="L201" s="23"/>
      <c r="M201" s="24"/>
      <c r="N201" s="22"/>
      <c r="O201" s="22"/>
      <c r="P201" s="22"/>
      <c r="Q201" s="22"/>
      <c r="R201" s="28"/>
      <c r="S201" s="22"/>
      <c r="T201" s="24"/>
      <c r="U201"/>
      <c r="V201"/>
      <c r="W201"/>
      <c r="X201"/>
      <c r="Y201"/>
      <c r="Z201" s="12"/>
      <c r="AA201" s="12"/>
      <c r="AB201" s="12"/>
      <c r="AC201" s="12"/>
      <c r="AD201" s="12"/>
      <c r="AE201" s="12"/>
      <c r="AF201" s="12"/>
      <c r="AG201" s="12"/>
      <c r="AH201" s="12"/>
      <c r="AI201" s="12"/>
    </row>
    <row r="202" spans="1:35" s="10" customFormat="1" x14ac:dyDescent="0.35">
      <c r="A202" s="12"/>
      <c r="B202" s="12"/>
      <c r="C202" s="12"/>
      <c r="D202"/>
      <c r="E202" s="22"/>
      <c r="F202" s="23"/>
      <c r="G202" s="22"/>
      <c r="H202" s="22"/>
      <c r="I202" s="22"/>
      <c r="J202" s="22"/>
      <c r="K202" s="22"/>
      <c r="L202" s="23"/>
      <c r="M202" s="24"/>
      <c r="N202" s="22"/>
      <c r="O202" s="22"/>
      <c r="P202" s="22"/>
      <c r="Q202" s="22"/>
      <c r="R202" s="28"/>
      <c r="S202" s="22"/>
      <c r="T202" s="24"/>
      <c r="U202"/>
      <c r="V202"/>
      <c r="W202"/>
      <c r="X202"/>
      <c r="Y202"/>
      <c r="Z202" s="12"/>
      <c r="AA202" s="12"/>
      <c r="AB202" s="12"/>
      <c r="AC202" s="12"/>
      <c r="AD202" s="12"/>
      <c r="AE202" s="12"/>
      <c r="AF202" s="12"/>
      <c r="AG202" s="12"/>
      <c r="AH202" s="12"/>
      <c r="AI202" s="12"/>
    </row>
    <row r="203" spans="1:35" s="10" customFormat="1" x14ac:dyDescent="0.35">
      <c r="A203" s="12"/>
      <c r="B203" s="12"/>
      <c r="C203" s="12"/>
      <c r="D203"/>
      <c r="E203" s="24"/>
      <c r="F203" s="23"/>
      <c r="G203" s="23"/>
      <c r="H203" s="23"/>
      <c r="I203" s="22"/>
      <c r="J203" s="22"/>
      <c r="K203" s="22"/>
      <c r="L203" s="22"/>
      <c r="M203" s="24"/>
      <c r="N203" s="22"/>
      <c r="O203" s="22"/>
      <c r="P203" s="22"/>
      <c r="Q203" s="22"/>
      <c r="R203" s="28"/>
      <c r="S203" s="22"/>
      <c r="T203" s="24"/>
      <c r="U203"/>
      <c r="V203"/>
      <c r="W203"/>
      <c r="X203"/>
      <c r="Y203"/>
      <c r="Z203" s="12"/>
      <c r="AA203" s="12"/>
      <c r="AB203" s="12"/>
      <c r="AC203" s="12"/>
      <c r="AD203" s="12"/>
      <c r="AE203" s="12"/>
      <c r="AF203" s="12"/>
      <c r="AG203" s="12"/>
      <c r="AH203" s="12"/>
      <c r="AI203" s="12"/>
    </row>
    <row r="204" spans="1:35" s="10" customFormat="1" x14ac:dyDescent="0.35">
      <c r="A204" s="12"/>
      <c r="B204" s="12"/>
      <c r="C204" s="12"/>
      <c r="D204"/>
      <c r="E204" s="24"/>
      <c r="F204" s="23"/>
      <c r="G204" s="23"/>
      <c r="H204" s="23"/>
      <c r="I204" s="22"/>
      <c r="J204" s="22"/>
      <c r="K204" s="22"/>
      <c r="L204" s="22"/>
      <c r="M204" s="24"/>
      <c r="N204" s="22"/>
      <c r="O204" s="22"/>
      <c r="P204" s="22"/>
      <c r="Q204" s="23"/>
      <c r="R204" s="23"/>
      <c r="S204" s="22"/>
      <c r="T204" s="24"/>
      <c r="U204"/>
      <c r="V204"/>
      <c r="W204"/>
      <c r="X204"/>
      <c r="Y204"/>
      <c r="Z204" s="12"/>
      <c r="AA204" s="12"/>
      <c r="AB204" s="12"/>
      <c r="AC204" s="12"/>
      <c r="AD204" s="12"/>
      <c r="AE204" s="12"/>
      <c r="AF204" s="12"/>
      <c r="AG204" s="12"/>
      <c r="AH204" s="12"/>
      <c r="AI204" s="12"/>
    </row>
    <row r="205" spans="1:35" s="10" customFormat="1" x14ac:dyDescent="0.35">
      <c r="A205" s="12"/>
      <c r="B205" s="12"/>
      <c r="C205" s="12"/>
      <c r="D205"/>
      <c r="E205" s="24"/>
      <c r="F205" s="23"/>
      <c r="G205" s="23"/>
      <c r="H205" s="23"/>
      <c r="I205" s="22"/>
      <c r="J205" s="22"/>
      <c r="K205" s="22"/>
      <c r="L205" s="22"/>
      <c r="M205" s="24"/>
      <c r="N205" s="22"/>
      <c r="O205" s="22"/>
      <c r="P205" s="22"/>
      <c r="Q205" s="23"/>
      <c r="R205" s="23"/>
      <c r="S205" s="22"/>
      <c r="T205" s="24"/>
      <c r="U205"/>
      <c r="V205"/>
      <c r="W205"/>
      <c r="X205"/>
      <c r="Y205"/>
      <c r="Z205" s="12"/>
      <c r="AA205" s="12"/>
      <c r="AB205" s="12"/>
      <c r="AC205" s="12"/>
      <c r="AD205" s="12"/>
      <c r="AE205" s="12"/>
      <c r="AF205" s="12"/>
      <c r="AG205" s="12"/>
      <c r="AH205" s="12"/>
      <c r="AI205" s="12"/>
    </row>
    <row r="206" spans="1:35" s="10" customFormat="1" x14ac:dyDescent="0.35">
      <c r="A206" s="12"/>
      <c r="B206" s="12"/>
      <c r="C206" s="12"/>
      <c r="D206"/>
      <c r="E206" s="24"/>
      <c r="F206" s="23"/>
      <c r="G206" s="23"/>
      <c r="H206" s="26"/>
      <c r="I206" s="22"/>
      <c r="J206" s="22"/>
      <c r="K206" s="22"/>
      <c r="L206" s="22"/>
      <c r="M206" s="24"/>
      <c r="N206" s="22"/>
      <c r="O206" s="22"/>
      <c r="P206" s="22"/>
      <c r="Q206" s="23"/>
      <c r="R206" s="23"/>
      <c r="S206" s="22"/>
      <c r="T206" s="24"/>
      <c r="U206"/>
      <c r="V206"/>
      <c r="W206"/>
      <c r="X206"/>
      <c r="Y206"/>
      <c r="Z206" s="12"/>
      <c r="AA206" s="12"/>
      <c r="AB206" s="12"/>
      <c r="AC206" s="12"/>
      <c r="AD206" s="12"/>
      <c r="AE206" s="12"/>
      <c r="AF206" s="12"/>
      <c r="AG206" s="12"/>
      <c r="AH206" s="12"/>
      <c r="AI206" s="12"/>
    </row>
    <row r="207" spans="1:35" s="10" customFormat="1" x14ac:dyDescent="0.35">
      <c r="A207" s="12"/>
      <c r="B207" s="12"/>
      <c r="C207" s="12"/>
      <c r="D207"/>
      <c r="E207" s="24"/>
      <c r="F207" s="23"/>
      <c r="G207" s="23"/>
      <c r="H207" s="26"/>
      <c r="I207" s="22"/>
      <c r="J207" s="22"/>
      <c r="K207" s="22"/>
      <c r="L207" s="22"/>
      <c r="M207" s="24"/>
      <c r="N207" s="22"/>
      <c r="O207" s="22"/>
      <c r="P207" s="22"/>
      <c r="Q207" s="23"/>
      <c r="R207" s="23"/>
      <c r="S207" s="22"/>
      <c r="T207" s="24"/>
      <c r="U207"/>
      <c r="V207"/>
      <c r="W207"/>
      <c r="X207"/>
      <c r="Y207"/>
      <c r="Z207" s="12"/>
      <c r="AA207" s="12"/>
      <c r="AB207" s="12"/>
      <c r="AC207" s="12"/>
      <c r="AD207" s="12"/>
      <c r="AE207" s="12"/>
      <c r="AF207" s="12"/>
      <c r="AG207" s="12"/>
      <c r="AH207" s="12"/>
      <c r="AI207" s="12"/>
    </row>
    <row r="208" spans="1:35" s="10" customFormat="1" x14ac:dyDescent="0.35">
      <c r="A208" s="12"/>
      <c r="B208" s="12"/>
      <c r="C208" s="12"/>
      <c r="D208"/>
      <c r="E208" s="24"/>
      <c r="F208" s="23"/>
      <c r="G208" s="23"/>
      <c r="H208" s="26"/>
      <c r="I208" s="22"/>
      <c r="J208" s="22"/>
      <c r="K208" s="22"/>
      <c r="L208" s="22"/>
      <c r="M208" s="24"/>
      <c r="N208" s="22"/>
      <c r="O208" s="22"/>
      <c r="P208" s="22"/>
      <c r="Q208" s="23"/>
      <c r="R208" s="23"/>
      <c r="S208" s="22"/>
      <c r="T208" s="24"/>
      <c r="U208"/>
      <c r="V208"/>
      <c r="W208"/>
      <c r="X208"/>
      <c r="Y208"/>
      <c r="Z208" s="12"/>
      <c r="AA208" s="12"/>
      <c r="AB208" s="12"/>
      <c r="AC208" s="12"/>
      <c r="AD208" s="12"/>
      <c r="AE208" s="12"/>
      <c r="AF208" s="12"/>
      <c r="AG208" s="12"/>
      <c r="AH208" s="12"/>
      <c r="AI208" s="12"/>
    </row>
    <row r="209" spans="1:35" s="10" customFormat="1" x14ac:dyDescent="0.35">
      <c r="A209" s="12"/>
      <c r="B209" s="12"/>
      <c r="C209" s="12"/>
      <c r="D209"/>
      <c r="E209" s="24"/>
      <c r="F209" s="23"/>
      <c r="G209" s="23"/>
      <c r="H209" s="26"/>
      <c r="I209" s="22"/>
      <c r="J209" s="22"/>
      <c r="K209" s="22"/>
      <c r="L209" s="22"/>
      <c r="M209" s="24"/>
      <c r="N209" s="22"/>
      <c r="O209" s="22"/>
      <c r="P209" s="22"/>
      <c r="Q209" s="23"/>
      <c r="R209" s="23"/>
      <c r="S209" s="22"/>
      <c r="T209" s="24"/>
      <c r="U209"/>
      <c r="V209"/>
      <c r="W209"/>
      <c r="X209"/>
      <c r="Y209"/>
      <c r="Z209" s="12"/>
      <c r="AA209" s="12"/>
      <c r="AB209" s="12"/>
      <c r="AC209" s="12"/>
      <c r="AD209" s="12"/>
      <c r="AE209" s="12"/>
      <c r="AF209" s="12"/>
      <c r="AG209" s="12"/>
      <c r="AH209" s="12"/>
      <c r="AI209" s="12"/>
    </row>
    <row r="210" spans="1:35" s="10" customFormat="1" x14ac:dyDescent="0.35">
      <c r="A210" s="12"/>
      <c r="B210" s="12"/>
      <c r="C210" s="12"/>
      <c r="D210"/>
      <c r="E210" s="24"/>
      <c r="F210" s="23"/>
      <c r="G210" s="23"/>
      <c r="H210" s="26"/>
      <c r="I210" s="22"/>
      <c r="J210" s="22"/>
      <c r="K210" s="22"/>
      <c r="L210" s="22"/>
      <c r="M210" s="24"/>
      <c r="N210" s="22"/>
      <c r="O210" s="22"/>
      <c r="P210" s="22"/>
      <c r="Q210" s="23"/>
      <c r="R210" s="23"/>
      <c r="S210" s="22"/>
      <c r="T210" s="24"/>
      <c r="U210"/>
      <c r="V210"/>
      <c r="W210"/>
      <c r="X210"/>
      <c r="Y210"/>
      <c r="Z210" s="12"/>
      <c r="AA210" s="12"/>
      <c r="AB210" s="12"/>
      <c r="AC210" s="12"/>
      <c r="AD210" s="12"/>
      <c r="AE210" s="12"/>
      <c r="AF210" s="12"/>
      <c r="AG210" s="12"/>
      <c r="AH210" s="12"/>
      <c r="AI210" s="12"/>
    </row>
    <row r="211" spans="1:35" s="10" customFormat="1" x14ac:dyDescent="0.35">
      <c r="A211" s="12"/>
      <c r="B211" s="12"/>
      <c r="C211" s="12"/>
      <c r="D211"/>
      <c r="E211" s="24"/>
      <c r="F211" s="23"/>
      <c r="G211" s="23"/>
      <c r="H211" s="26"/>
      <c r="I211" s="22"/>
      <c r="J211" s="22"/>
      <c r="K211" s="22"/>
      <c r="L211" s="22"/>
      <c r="M211" s="24"/>
      <c r="N211" s="22"/>
      <c r="O211" s="22"/>
      <c r="P211" s="22"/>
      <c r="Q211" s="23"/>
      <c r="R211" s="23"/>
      <c r="S211" s="22"/>
      <c r="T211" s="24"/>
      <c r="U211"/>
      <c r="V211"/>
      <c r="W211"/>
      <c r="X211"/>
      <c r="Y211"/>
      <c r="Z211" s="12"/>
      <c r="AA211" s="12"/>
      <c r="AB211" s="12"/>
      <c r="AC211" s="12"/>
      <c r="AD211" s="12"/>
      <c r="AE211" s="12"/>
      <c r="AF211" s="12"/>
      <c r="AG211" s="12"/>
      <c r="AH211" s="12"/>
      <c r="AI211" s="12"/>
    </row>
    <row r="212" spans="1:35" s="10" customFormat="1" x14ac:dyDescent="0.35">
      <c r="A212" s="12"/>
      <c r="B212" s="12"/>
      <c r="C212" s="12"/>
      <c r="D212"/>
      <c r="E212" s="24"/>
      <c r="F212" s="23"/>
      <c r="G212" s="23"/>
      <c r="H212" s="26"/>
      <c r="I212" s="22"/>
      <c r="J212" s="22"/>
      <c r="K212" s="22"/>
      <c r="L212" s="22"/>
      <c r="M212" s="24"/>
      <c r="N212" s="22"/>
      <c r="O212" s="22"/>
      <c r="P212" s="22"/>
      <c r="Q212" s="23"/>
      <c r="R212" s="23"/>
      <c r="S212" s="22"/>
      <c r="T212" s="24"/>
      <c r="U212"/>
      <c r="V212"/>
      <c r="W212"/>
      <c r="X212"/>
      <c r="Y212"/>
      <c r="Z212" s="12"/>
      <c r="AA212" s="12"/>
      <c r="AB212" s="12"/>
      <c r="AC212" s="12"/>
      <c r="AD212" s="12"/>
      <c r="AE212" s="12"/>
      <c r="AF212" s="12"/>
      <c r="AG212" s="12"/>
      <c r="AH212" s="12"/>
      <c r="AI212" s="12"/>
    </row>
    <row r="213" spans="1:35" s="10" customFormat="1" x14ac:dyDescent="0.35">
      <c r="A213" s="12"/>
      <c r="B213" s="12"/>
      <c r="C213" s="12"/>
      <c r="D213"/>
      <c r="E213" s="24"/>
      <c r="F213" s="23"/>
      <c r="G213" s="23"/>
      <c r="H213" s="26"/>
      <c r="I213" s="22"/>
      <c r="J213" s="22"/>
      <c r="K213" s="22"/>
      <c r="L213" s="22"/>
      <c r="M213" s="21"/>
      <c r="N213" s="22"/>
      <c r="O213" s="22"/>
      <c r="P213" s="22"/>
      <c r="Q213" s="22"/>
      <c r="R213" s="28"/>
      <c r="S213" s="22"/>
      <c r="T213" s="20"/>
      <c r="U213"/>
      <c r="V213"/>
      <c r="W213"/>
      <c r="X213"/>
      <c r="Y213"/>
      <c r="Z213" s="12"/>
      <c r="AA213" s="12"/>
      <c r="AB213" s="12"/>
      <c r="AC213" s="12"/>
      <c r="AD213" s="12"/>
      <c r="AE213" s="12"/>
      <c r="AF213" s="12"/>
      <c r="AG213" s="12"/>
      <c r="AH213" s="12"/>
      <c r="AI213" s="12"/>
    </row>
    <row r="214" spans="1:35" s="10" customFormat="1" x14ac:dyDescent="0.35">
      <c r="A214" s="12"/>
      <c r="B214" s="12"/>
      <c r="C214" s="12"/>
      <c r="D214"/>
      <c r="E214" s="24"/>
      <c r="F214" s="23"/>
      <c r="G214" s="22"/>
      <c r="H214" s="22"/>
      <c r="I214" s="22"/>
      <c r="J214" s="22"/>
      <c r="K214" s="22"/>
      <c r="L214" s="22"/>
      <c r="M214" s="21"/>
      <c r="N214" s="22"/>
      <c r="O214" s="22"/>
      <c r="P214" s="22"/>
      <c r="Q214" s="22"/>
      <c r="R214" s="22"/>
      <c r="S214" s="22"/>
      <c r="T214" s="19"/>
      <c r="U214"/>
      <c r="V214"/>
      <c r="W214"/>
      <c r="X214"/>
      <c r="Y214"/>
      <c r="Z214" s="12"/>
      <c r="AA214" s="12"/>
      <c r="AB214" s="12"/>
      <c r="AC214" s="12"/>
      <c r="AD214" s="12"/>
      <c r="AE214" s="12"/>
      <c r="AF214" s="12"/>
      <c r="AG214" s="12"/>
      <c r="AH214" s="12"/>
      <c r="AI214" s="12"/>
    </row>
    <row r="215" spans="1:35" s="10" customFormat="1" x14ac:dyDescent="0.35">
      <c r="A215" s="12"/>
      <c r="B215" s="12"/>
      <c r="C215" s="12"/>
      <c r="D215"/>
      <c r="E215" s="24"/>
      <c r="F215" s="23"/>
      <c r="G215" s="23"/>
      <c r="H215" s="26"/>
      <c r="I215" s="22"/>
      <c r="J215" s="22"/>
      <c r="K215" s="22"/>
      <c r="L215" s="22"/>
      <c r="M215" s="24"/>
      <c r="N215" s="22"/>
      <c r="O215" s="22"/>
      <c r="P215" s="22"/>
      <c r="Q215" s="22"/>
      <c r="R215" s="28"/>
      <c r="S215" s="22"/>
      <c r="T215" s="24"/>
      <c r="U215"/>
      <c r="V215"/>
      <c r="W215"/>
      <c r="X215"/>
      <c r="Y215"/>
      <c r="Z215" s="12"/>
      <c r="AA215" s="12"/>
      <c r="AB215" s="12"/>
      <c r="AC215" s="12"/>
      <c r="AD215" s="12"/>
      <c r="AE215" s="12"/>
      <c r="AF215" s="12"/>
      <c r="AG215" s="12"/>
      <c r="AH215" s="12"/>
      <c r="AI215" s="12"/>
    </row>
    <row r="216" spans="1:35" s="10" customFormat="1" x14ac:dyDescent="0.35">
      <c r="A216" s="12"/>
      <c r="B216" s="12"/>
      <c r="C216" s="12"/>
      <c r="D216"/>
      <c r="E216" s="19"/>
      <c r="F216" s="23"/>
      <c r="G216" s="22"/>
      <c r="H216" s="22"/>
      <c r="I216" s="22"/>
      <c r="J216" s="22"/>
      <c r="K216" s="22"/>
      <c r="L216" s="23"/>
      <c r="M216" s="24"/>
      <c r="N216" s="22"/>
      <c r="O216" s="22"/>
      <c r="P216" s="22"/>
      <c r="Q216" s="22"/>
      <c r="R216" s="28"/>
      <c r="S216" s="22"/>
      <c r="T216" s="24"/>
      <c r="U216"/>
      <c r="V216"/>
      <c r="W216"/>
      <c r="X216"/>
      <c r="Y216"/>
      <c r="Z216" s="12"/>
      <c r="AA216" s="12"/>
      <c r="AB216" s="12"/>
      <c r="AC216" s="12"/>
      <c r="AD216" s="12"/>
      <c r="AE216" s="12"/>
      <c r="AF216" s="12"/>
      <c r="AG216" s="12"/>
      <c r="AH216" s="12"/>
      <c r="AI216" s="12"/>
    </row>
    <row r="217" spans="1:35" s="10" customFormat="1" x14ac:dyDescent="0.35">
      <c r="A217" s="12"/>
      <c r="B217" s="12"/>
      <c r="C217" s="12"/>
      <c r="D217"/>
      <c r="E217" s="19"/>
      <c r="F217" s="23"/>
      <c r="G217" s="22"/>
      <c r="H217" s="22"/>
      <c r="I217" s="22"/>
      <c r="J217" s="22"/>
      <c r="K217" s="22"/>
      <c r="L217" s="23"/>
      <c r="M217" s="24"/>
      <c r="N217" s="22"/>
      <c r="O217" s="22"/>
      <c r="P217" s="22"/>
      <c r="Q217" s="22"/>
      <c r="R217" s="28"/>
      <c r="S217" s="22"/>
      <c r="T217" s="24"/>
      <c r="U217"/>
      <c r="V217"/>
      <c r="W217"/>
      <c r="X217"/>
      <c r="Y217"/>
      <c r="Z217" s="12"/>
      <c r="AA217" s="12"/>
      <c r="AB217" s="12"/>
      <c r="AC217" s="12"/>
      <c r="AD217" s="12"/>
      <c r="AE217" s="12"/>
      <c r="AF217" s="12"/>
      <c r="AG217" s="12"/>
      <c r="AH217" s="12"/>
      <c r="AI217" s="12"/>
    </row>
    <row r="218" spans="1:35" s="10" customFormat="1" x14ac:dyDescent="0.35">
      <c r="A218" s="12"/>
      <c r="B218" s="12"/>
      <c r="C218" s="12"/>
      <c r="D218"/>
      <c r="E218" s="19"/>
      <c r="F218" s="23"/>
      <c r="G218" s="22"/>
      <c r="H218" s="25"/>
      <c r="I218" s="22"/>
      <c r="J218" s="22"/>
      <c r="K218" s="22"/>
      <c r="L218" s="23"/>
      <c r="M218" s="24"/>
      <c r="N218" s="22"/>
      <c r="O218" s="22"/>
      <c r="P218" s="22"/>
      <c r="Q218" s="22"/>
      <c r="R218" s="28"/>
      <c r="S218" s="22"/>
      <c r="T218" s="24"/>
      <c r="U218"/>
      <c r="V218"/>
      <c r="W218"/>
      <c r="X218"/>
      <c r="Y218"/>
      <c r="Z218" s="12"/>
      <c r="AA218" s="12"/>
      <c r="AB218" s="12"/>
      <c r="AC218" s="12"/>
      <c r="AD218" s="12"/>
      <c r="AE218" s="12"/>
      <c r="AF218" s="12"/>
      <c r="AG218" s="12"/>
      <c r="AH218" s="12"/>
      <c r="AI218" s="12"/>
    </row>
    <row r="219" spans="1:35" s="10" customFormat="1" x14ac:dyDescent="0.35">
      <c r="A219" s="12"/>
      <c r="B219" s="12"/>
      <c r="C219" s="12"/>
      <c r="D219"/>
      <c r="E219" s="19"/>
      <c r="F219" s="23"/>
      <c r="G219" s="22"/>
      <c r="H219" s="22"/>
      <c r="I219" s="22"/>
      <c r="J219" s="22"/>
      <c r="K219" s="22"/>
      <c r="L219" s="23"/>
      <c r="M219" s="24"/>
      <c r="N219" s="22"/>
      <c r="O219" s="22"/>
      <c r="P219" s="22"/>
      <c r="Q219" s="22"/>
      <c r="R219" s="28"/>
      <c r="S219" s="22"/>
      <c r="T219" s="24"/>
      <c r="U219"/>
      <c r="V219"/>
      <c r="W219"/>
      <c r="X219"/>
      <c r="Y219"/>
      <c r="Z219" s="12"/>
      <c r="AA219" s="12"/>
      <c r="AB219" s="12"/>
      <c r="AC219" s="12"/>
      <c r="AD219" s="12"/>
      <c r="AE219" s="12"/>
      <c r="AF219" s="12"/>
      <c r="AG219" s="12"/>
      <c r="AH219" s="12"/>
      <c r="AI219" s="12"/>
    </row>
    <row r="220" spans="1:35" s="10" customFormat="1" x14ac:dyDescent="0.35">
      <c r="A220" s="12"/>
      <c r="B220" s="12"/>
      <c r="C220" s="12"/>
      <c r="D220"/>
      <c r="E220" s="19"/>
      <c r="F220" s="23"/>
      <c r="G220" s="22"/>
      <c r="H220" s="22"/>
      <c r="I220" s="22"/>
      <c r="J220" s="22"/>
      <c r="K220" s="22"/>
      <c r="L220" s="23"/>
      <c r="M220" s="24"/>
      <c r="N220" s="22"/>
      <c r="O220" s="22"/>
      <c r="P220" s="22"/>
      <c r="Q220" s="22"/>
      <c r="R220" s="28"/>
      <c r="S220" s="22"/>
      <c r="T220" s="24"/>
      <c r="U220"/>
      <c r="V220"/>
      <c r="W220"/>
      <c r="X220"/>
      <c r="Y220"/>
      <c r="Z220" s="12"/>
      <c r="AA220" s="12"/>
      <c r="AB220" s="12"/>
      <c r="AC220" s="12"/>
      <c r="AD220" s="12"/>
      <c r="AE220" s="12"/>
      <c r="AF220" s="12"/>
      <c r="AG220" s="12"/>
      <c r="AH220" s="12"/>
      <c r="AI220" s="12"/>
    </row>
    <row r="221" spans="1:35" s="10" customFormat="1" x14ac:dyDescent="0.35">
      <c r="A221" s="12"/>
      <c r="B221" s="12"/>
      <c r="C221" s="12"/>
      <c r="D221"/>
      <c r="E221" s="22"/>
      <c r="F221" s="23"/>
      <c r="G221" s="22"/>
      <c r="H221" s="22"/>
      <c r="I221" s="22"/>
      <c r="J221" s="22"/>
      <c r="K221" s="22"/>
      <c r="L221" s="23"/>
      <c r="M221" s="24"/>
      <c r="N221" s="22"/>
      <c r="O221" s="22"/>
      <c r="P221" s="22"/>
      <c r="Q221" s="22"/>
      <c r="R221" s="28"/>
      <c r="S221" s="22"/>
      <c r="T221" s="24"/>
      <c r="U221"/>
      <c r="V221"/>
      <c r="W221"/>
      <c r="X221"/>
      <c r="Y221"/>
      <c r="Z221" s="12"/>
      <c r="AA221" s="12"/>
      <c r="AB221" s="12"/>
      <c r="AC221" s="12"/>
      <c r="AD221" s="12"/>
      <c r="AE221" s="12"/>
      <c r="AF221" s="12"/>
      <c r="AG221" s="12"/>
      <c r="AH221" s="12"/>
      <c r="AI221" s="12"/>
    </row>
    <row r="222" spans="1:35" s="10" customFormat="1" x14ac:dyDescent="0.35">
      <c r="A222" s="12"/>
      <c r="B222" s="12"/>
      <c r="C222" s="12"/>
      <c r="D222"/>
      <c r="E222" s="22"/>
      <c r="F222" s="23"/>
      <c r="G222" s="22"/>
      <c r="H222" s="22"/>
      <c r="I222" s="22"/>
      <c r="J222" s="22"/>
      <c r="K222" s="22"/>
      <c r="L222" s="23"/>
      <c r="M222" s="24"/>
      <c r="N222" s="22"/>
      <c r="O222" s="22"/>
      <c r="P222" s="22"/>
      <c r="Q222" s="22"/>
      <c r="R222" s="28"/>
      <c r="S222" s="22"/>
      <c r="T222" s="24"/>
      <c r="U222"/>
      <c r="V222"/>
      <c r="W222"/>
      <c r="X222"/>
      <c r="Y222"/>
      <c r="Z222" s="12"/>
      <c r="AA222" s="12"/>
      <c r="AB222" s="12"/>
      <c r="AC222" s="12"/>
      <c r="AD222" s="12"/>
      <c r="AE222" s="12"/>
      <c r="AF222" s="12"/>
      <c r="AG222" s="12"/>
      <c r="AH222" s="12"/>
      <c r="AI222" s="12"/>
    </row>
    <row r="223" spans="1:35" s="10" customFormat="1" x14ac:dyDescent="0.35">
      <c r="A223" s="12"/>
      <c r="B223" s="12"/>
      <c r="C223" s="12"/>
      <c r="D223"/>
      <c r="E223" s="22"/>
      <c r="F223" s="23"/>
      <c r="G223" s="22"/>
      <c r="H223" s="22"/>
      <c r="I223" s="22"/>
      <c r="J223" s="22"/>
      <c r="K223" s="22"/>
      <c r="L223" s="23"/>
      <c r="M223" s="24"/>
      <c r="N223" s="22"/>
      <c r="O223" s="22"/>
      <c r="P223" s="22"/>
      <c r="Q223" s="22"/>
      <c r="R223" s="28"/>
      <c r="S223" s="22"/>
      <c r="T223" s="24"/>
      <c r="U223"/>
      <c r="V223"/>
      <c r="W223"/>
      <c r="X223"/>
      <c r="Y223"/>
      <c r="Z223" s="12"/>
      <c r="AA223" s="12"/>
      <c r="AB223" s="12"/>
      <c r="AC223" s="12"/>
      <c r="AD223" s="12"/>
      <c r="AE223" s="12"/>
      <c r="AF223" s="12"/>
      <c r="AG223" s="12"/>
      <c r="AH223" s="12"/>
      <c r="AI223" s="12"/>
    </row>
    <row r="224" spans="1:35" s="10" customFormat="1" x14ac:dyDescent="0.35">
      <c r="A224" s="12"/>
      <c r="B224" s="12"/>
      <c r="C224" s="12"/>
      <c r="D224"/>
      <c r="E224" s="24"/>
      <c r="F224" s="23"/>
      <c r="G224" s="23"/>
      <c r="H224" s="23"/>
      <c r="I224" s="22"/>
      <c r="J224" s="22"/>
      <c r="K224" s="22"/>
      <c r="L224" s="22"/>
      <c r="M224" s="24"/>
      <c r="N224" s="22"/>
      <c r="O224" s="22"/>
      <c r="P224" s="22"/>
      <c r="Q224" s="22"/>
      <c r="R224" s="28"/>
      <c r="S224" s="22"/>
      <c r="T224" s="24"/>
      <c r="U224"/>
      <c r="V224"/>
      <c r="W224"/>
      <c r="X224"/>
      <c r="Y224"/>
      <c r="Z224" s="12"/>
      <c r="AA224" s="12"/>
      <c r="AB224" s="12"/>
      <c r="AC224" s="12"/>
      <c r="AD224" s="12"/>
      <c r="AE224" s="12"/>
      <c r="AF224" s="12"/>
      <c r="AG224" s="12"/>
      <c r="AH224" s="12"/>
      <c r="AI224" s="12"/>
    </row>
    <row r="225" spans="1:35" s="10" customFormat="1" x14ac:dyDescent="0.35">
      <c r="A225" s="12"/>
      <c r="B225" s="12"/>
      <c r="C225" s="12"/>
      <c r="D225"/>
      <c r="E225" s="24"/>
      <c r="F225" s="23"/>
      <c r="G225" s="23"/>
      <c r="H225" s="23"/>
      <c r="I225" s="22"/>
      <c r="J225" s="22"/>
      <c r="K225" s="22"/>
      <c r="L225" s="22"/>
      <c r="M225" s="24"/>
      <c r="N225" s="22"/>
      <c r="O225" s="22"/>
      <c r="P225" s="22"/>
      <c r="Q225" s="23"/>
      <c r="R225" s="23"/>
      <c r="S225" s="22"/>
      <c r="T225" s="24"/>
      <c r="U225"/>
      <c r="V225"/>
      <c r="W225"/>
      <c r="X225"/>
      <c r="Y225"/>
      <c r="Z225" s="12"/>
      <c r="AA225" s="12"/>
      <c r="AB225" s="12"/>
      <c r="AC225" s="12"/>
      <c r="AD225" s="12"/>
      <c r="AE225" s="12"/>
      <c r="AF225" s="12"/>
      <c r="AG225" s="12"/>
      <c r="AH225" s="12"/>
      <c r="AI225" s="12"/>
    </row>
    <row r="226" spans="1:35" s="10" customFormat="1" x14ac:dyDescent="0.35">
      <c r="A226" s="12"/>
      <c r="B226" s="12"/>
      <c r="C226" s="12"/>
      <c r="D226"/>
      <c r="E226" s="24"/>
      <c r="F226" s="23"/>
      <c r="G226" s="23"/>
      <c r="H226" s="23"/>
      <c r="I226" s="22"/>
      <c r="J226" s="22"/>
      <c r="K226" s="22"/>
      <c r="L226" s="22"/>
      <c r="M226" s="24"/>
      <c r="N226" s="22"/>
      <c r="O226" s="22"/>
      <c r="P226" s="22"/>
      <c r="Q226" s="23"/>
      <c r="R226" s="23"/>
      <c r="S226" s="22"/>
      <c r="T226" s="24"/>
      <c r="U226"/>
      <c r="V226"/>
      <c r="W226"/>
      <c r="X226"/>
      <c r="Y226"/>
      <c r="Z226" s="12"/>
      <c r="AA226" s="12"/>
      <c r="AB226" s="12"/>
      <c r="AC226" s="12"/>
      <c r="AD226" s="12"/>
      <c r="AE226" s="12"/>
      <c r="AF226" s="12"/>
      <c r="AG226" s="12"/>
      <c r="AH226" s="12"/>
      <c r="AI226" s="12"/>
    </row>
    <row r="227" spans="1:35" s="10" customFormat="1" x14ac:dyDescent="0.35">
      <c r="A227" s="12"/>
      <c r="B227" s="12"/>
      <c r="C227" s="12"/>
      <c r="D227"/>
      <c r="E227" s="24"/>
      <c r="F227" s="23"/>
      <c r="G227" s="23"/>
      <c r="H227" s="26"/>
      <c r="I227" s="22"/>
      <c r="J227" s="22"/>
      <c r="K227" s="22"/>
      <c r="L227" s="22"/>
      <c r="M227" s="24"/>
      <c r="N227" s="22"/>
      <c r="O227" s="22"/>
      <c r="P227" s="22"/>
      <c r="Q227" s="23"/>
      <c r="R227" s="23"/>
      <c r="S227" s="22"/>
      <c r="T227" s="24"/>
      <c r="U227"/>
      <c r="V227"/>
      <c r="W227"/>
      <c r="X227"/>
      <c r="Y227"/>
      <c r="Z227" s="12"/>
      <c r="AA227" s="12"/>
      <c r="AB227" s="12"/>
      <c r="AC227" s="12"/>
      <c r="AD227" s="12"/>
      <c r="AE227" s="12"/>
      <c r="AF227" s="12"/>
      <c r="AG227" s="12"/>
      <c r="AH227" s="12"/>
      <c r="AI227" s="12"/>
    </row>
    <row r="228" spans="1:35" s="10" customFormat="1" x14ac:dyDescent="0.35">
      <c r="A228" s="12"/>
      <c r="B228" s="12"/>
      <c r="C228" s="12"/>
      <c r="D228"/>
      <c r="E228" s="24"/>
      <c r="F228" s="23"/>
      <c r="G228" s="23"/>
      <c r="H228" s="26"/>
      <c r="I228" s="22"/>
      <c r="J228" s="22"/>
      <c r="K228" s="22"/>
      <c r="L228" s="22"/>
      <c r="M228" s="24"/>
      <c r="N228" s="22"/>
      <c r="O228" s="22"/>
      <c r="P228" s="22"/>
      <c r="Q228" s="23"/>
      <c r="R228" s="23"/>
      <c r="S228" s="22"/>
      <c r="T228" s="24"/>
      <c r="U228"/>
      <c r="V228"/>
      <c r="W228"/>
      <c r="X228"/>
      <c r="Y228"/>
      <c r="Z228" s="12"/>
      <c r="AA228" s="12"/>
      <c r="AB228" s="12"/>
      <c r="AC228" s="12"/>
      <c r="AD228" s="12"/>
      <c r="AE228" s="12"/>
      <c r="AF228" s="12"/>
      <c r="AG228" s="12"/>
      <c r="AH228" s="12"/>
      <c r="AI228" s="12"/>
    </row>
    <row r="229" spans="1:35" s="10" customFormat="1" x14ac:dyDescent="0.35">
      <c r="A229" s="12"/>
      <c r="B229" s="12"/>
      <c r="C229" s="12"/>
      <c r="D229"/>
      <c r="E229" s="24"/>
      <c r="F229" s="23"/>
      <c r="G229" s="23"/>
      <c r="H229" s="26"/>
      <c r="I229" s="22"/>
      <c r="J229" s="22"/>
      <c r="K229" s="22"/>
      <c r="L229" s="22"/>
      <c r="M229" s="24"/>
      <c r="N229" s="22"/>
      <c r="O229" s="22"/>
      <c r="P229" s="22"/>
      <c r="Q229" s="23"/>
      <c r="R229" s="23"/>
      <c r="S229" s="22"/>
      <c r="T229" s="24"/>
      <c r="U229"/>
      <c r="V229"/>
      <c r="W229"/>
      <c r="X229"/>
      <c r="Y229"/>
      <c r="Z229" s="12"/>
      <c r="AA229" s="12"/>
      <c r="AB229" s="12"/>
      <c r="AC229" s="12"/>
      <c r="AD229" s="12"/>
      <c r="AE229" s="12"/>
      <c r="AF229" s="12"/>
      <c r="AG229" s="12"/>
      <c r="AH229" s="12"/>
      <c r="AI229" s="12"/>
    </row>
    <row r="230" spans="1:35" s="10" customFormat="1" x14ac:dyDescent="0.35">
      <c r="A230" s="12"/>
      <c r="B230" s="12"/>
      <c r="C230" s="12"/>
      <c r="D230"/>
      <c r="E230" s="24"/>
      <c r="F230" s="23"/>
      <c r="G230" s="23"/>
      <c r="H230" s="26"/>
      <c r="I230" s="22"/>
      <c r="J230" s="22"/>
      <c r="K230" s="22"/>
      <c r="L230" s="22"/>
      <c r="M230" s="24"/>
      <c r="N230" s="22"/>
      <c r="O230" s="22"/>
      <c r="P230" s="22"/>
      <c r="Q230" s="23"/>
      <c r="R230" s="23"/>
      <c r="S230" s="22"/>
      <c r="T230" s="24"/>
      <c r="U230"/>
      <c r="V230"/>
      <c r="W230"/>
      <c r="X230"/>
      <c r="Y230"/>
      <c r="Z230" s="12"/>
      <c r="AA230" s="12"/>
      <c r="AB230" s="12"/>
      <c r="AC230" s="12"/>
      <c r="AD230" s="12"/>
      <c r="AE230" s="12"/>
      <c r="AF230" s="12"/>
      <c r="AG230" s="12"/>
      <c r="AH230" s="12"/>
      <c r="AI230" s="12"/>
    </row>
    <row r="231" spans="1:35" s="10" customFormat="1" x14ac:dyDescent="0.35">
      <c r="A231" s="12"/>
      <c r="B231" s="12"/>
      <c r="C231" s="12"/>
      <c r="D231"/>
      <c r="E231" s="24"/>
      <c r="F231" s="23"/>
      <c r="G231" s="23"/>
      <c r="H231" s="26"/>
      <c r="I231" s="22"/>
      <c r="J231" s="22"/>
      <c r="K231" s="22"/>
      <c r="L231" s="22"/>
      <c r="M231" s="24"/>
      <c r="N231" s="22"/>
      <c r="O231" s="22"/>
      <c r="P231" s="22"/>
      <c r="Q231" s="23"/>
      <c r="R231" s="23"/>
      <c r="S231" s="22"/>
      <c r="T231" s="24"/>
      <c r="U231"/>
      <c r="V231"/>
      <c r="W231"/>
      <c r="X231"/>
      <c r="Y231"/>
      <c r="Z231" s="12"/>
      <c r="AA231" s="12"/>
      <c r="AB231" s="12"/>
      <c r="AC231" s="12"/>
      <c r="AD231" s="12"/>
      <c r="AE231" s="12"/>
      <c r="AF231" s="12"/>
      <c r="AG231" s="12"/>
      <c r="AH231" s="12"/>
      <c r="AI231" s="12"/>
    </row>
    <row r="232" spans="1:35" s="10" customFormat="1" x14ac:dyDescent="0.35">
      <c r="A232" s="12"/>
      <c r="B232" s="12"/>
      <c r="C232" s="12"/>
      <c r="D232"/>
      <c r="E232" s="24"/>
      <c r="F232" s="23"/>
      <c r="G232" s="23"/>
      <c r="H232" s="26"/>
      <c r="I232" s="22"/>
      <c r="J232" s="22"/>
      <c r="K232" s="22"/>
      <c r="L232" s="22"/>
      <c r="M232" s="24"/>
      <c r="N232" s="22"/>
      <c r="O232" s="22"/>
      <c r="P232" s="22"/>
      <c r="Q232" s="23"/>
      <c r="R232" s="23"/>
      <c r="S232" s="22"/>
      <c r="T232" s="24"/>
      <c r="U232"/>
      <c r="V232"/>
      <c r="W232"/>
      <c r="X232"/>
      <c r="Y232"/>
      <c r="Z232" s="12"/>
      <c r="AA232" s="12"/>
      <c r="AB232" s="12"/>
      <c r="AC232" s="12"/>
      <c r="AD232" s="12"/>
      <c r="AE232" s="12"/>
      <c r="AF232" s="12"/>
      <c r="AG232" s="12"/>
      <c r="AH232" s="12"/>
      <c r="AI232" s="12"/>
    </row>
    <row r="233" spans="1:35" s="10" customFormat="1" x14ac:dyDescent="0.35">
      <c r="A233" s="12"/>
      <c r="B233" s="12"/>
      <c r="C233" s="12"/>
      <c r="D233"/>
      <c r="E233" s="24"/>
      <c r="F233" s="23"/>
      <c r="G233" s="23"/>
      <c r="H233" s="26"/>
      <c r="I233" s="22"/>
      <c r="J233" s="22"/>
      <c r="K233" s="22"/>
      <c r="L233" s="22"/>
      <c r="M233" s="24"/>
      <c r="N233" s="22"/>
      <c r="O233" s="22"/>
      <c r="P233" s="22"/>
      <c r="Q233" s="23"/>
      <c r="R233" s="23"/>
      <c r="S233" s="22"/>
      <c r="T233" s="24"/>
      <c r="U233"/>
      <c r="V233"/>
      <c r="W233"/>
      <c r="X233"/>
      <c r="Y233"/>
      <c r="Z233" s="12"/>
      <c r="AA233" s="12"/>
      <c r="AB233" s="12"/>
      <c r="AC233" s="12"/>
      <c r="AD233" s="12"/>
      <c r="AE233" s="12"/>
      <c r="AF233" s="12"/>
      <c r="AG233" s="12"/>
      <c r="AH233" s="12"/>
      <c r="AI233" s="12"/>
    </row>
    <row r="234" spans="1:35" s="10" customFormat="1" x14ac:dyDescent="0.35">
      <c r="A234" s="12"/>
      <c r="B234" s="12"/>
      <c r="C234" s="12"/>
      <c r="D234"/>
      <c r="E234" s="24"/>
      <c r="F234" s="23"/>
      <c r="G234" s="23"/>
      <c r="H234" s="26"/>
      <c r="I234" s="22"/>
      <c r="J234" s="22"/>
      <c r="K234" s="22"/>
      <c r="L234" s="22"/>
      <c r="M234" s="21"/>
      <c r="N234" s="22"/>
      <c r="O234" s="22"/>
      <c r="P234" s="22"/>
      <c r="Q234" s="22"/>
      <c r="R234" s="28"/>
      <c r="S234" s="22"/>
      <c r="T234" s="20"/>
      <c r="U234"/>
      <c r="V234"/>
      <c r="W234"/>
      <c r="X234"/>
      <c r="Y234"/>
      <c r="Z234" s="12"/>
      <c r="AA234" s="12"/>
      <c r="AB234" s="12"/>
      <c r="AC234" s="12"/>
      <c r="AD234" s="12"/>
      <c r="AE234" s="12"/>
      <c r="AF234" s="12"/>
      <c r="AG234" s="12"/>
      <c r="AH234" s="12"/>
      <c r="AI234" s="12"/>
    </row>
    <row r="235" spans="1:35" s="10" customFormat="1" x14ac:dyDescent="0.35">
      <c r="A235" s="12"/>
      <c r="B235" s="12"/>
      <c r="C235" s="12"/>
      <c r="D235"/>
      <c r="E235" s="24"/>
      <c r="F235" s="23"/>
      <c r="G235" s="22"/>
      <c r="H235" s="22"/>
      <c r="I235" s="22"/>
      <c r="J235" s="22"/>
      <c r="K235" s="22"/>
      <c r="L235" s="22"/>
      <c r="M235" s="21"/>
      <c r="N235" s="22"/>
      <c r="O235" s="22"/>
      <c r="P235" s="22"/>
      <c r="Q235" s="22"/>
      <c r="R235" s="22"/>
      <c r="S235" s="22"/>
      <c r="T235" s="19"/>
      <c r="U235"/>
      <c r="V235"/>
      <c r="W235"/>
      <c r="X235"/>
      <c r="Y235"/>
      <c r="Z235" s="12"/>
      <c r="AA235" s="12"/>
      <c r="AB235" s="12"/>
      <c r="AC235" s="12"/>
      <c r="AD235" s="12"/>
      <c r="AE235" s="12"/>
      <c r="AF235" s="12"/>
      <c r="AG235" s="12"/>
      <c r="AH235" s="12"/>
      <c r="AI235" s="12"/>
    </row>
    <row r="236" spans="1:35" s="10" customFormat="1" x14ac:dyDescent="0.35">
      <c r="A236" s="12"/>
      <c r="B236" s="12"/>
      <c r="C236" s="12"/>
      <c r="D236"/>
      <c r="E236" s="24"/>
      <c r="F236" s="23"/>
      <c r="G236" s="23"/>
      <c r="H236" s="26"/>
      <c r="I236" s="22"/>
      <c r="J236" s="22"/>
      <c r="K236" s="22"/>
      <c r="L236" s="22"/>
      <c r="M236" s="24"/>
      <c r="N236" s="22"/>
      <c r="O236" s="22"/>
      <c r="P236" s="22"/>
      <c r="Q236" s="22"/>
      <c r="R236" s="28"/>
      <c r="S236" s="22"/>
      <c r="T236" s="24"/>
      <c r="U236"/>
      <c r="V236"/>
      <c r="W236"/>
      <c r="X236"/>
      <c r="Y236"/>
      <c r="Z236" s="12"/>
      <c r="AA236" s="12"/>
      <c r="AB236" s="12"/>
      <c r="AC236" s="12"/>
      <c r="AD236" s="12"/>
      <c r="AE236" s="12"/>
      <c r="AF236" s="12"/>
      <c r="AG236" s="12"/>
      <c r="AH236" s="12"/>
      <c r="AI236" s="12"/>
    </row>
    <row r="237" spans="1:35" s="10" customFormat="1" x14ac:dyDescent="0.35">
      <c r="A237" s="12"/>
      <c r="B237" s="12"/>
      <c r="C237" s="12"/>
      <c r="D237"/>
      <c r="E237" s="19"/>
      <c r="F237" s="23"/>
      <c r="G237" s="22"/>
      <c r="H237" s="22"/>
      <c r="I237" s="22"/>
      <c r="J237" s="22"/>
      <c r="K237" s="22"/>
      <c r="L237" s="23"/>
      <c r="M237" s="24"/>
      <c r="N237" s="22"/>
      <c r="O237" s="22"/>
      <c r="P237" s="22"/>
      <c r="Q237" s="22"/>
      <c r="R237" s="28"/>
      <c r="S237" s="22"/>
      <c r="T237" s="24"/>
      <c r="U237"/>
      <c r="V237"/>
      <c r="W237"/>
      <c r="X237"/>
      <c r="Y237"/>
      <c r="Z237" s="12"/>
      <c r="AA237" s="12"/>
      <c r="AB237" s="12"/>
      <c r="AC237" s="12"/>
      <c r="AD237" s="12"/>
      <c r="AE237" s="12"/>
      <c r="AF237" s="12"/>
      <c r="AG237" s="12"/>
      <c r="AH237" s="12"/>
      <c r="AI237" s="12"/>
    </row>
    <row r="238" spans="1:35" s="10" customFormat="1" x14ac:dyDescent="0.35">
      <c r="A238" s="12"/>
      <c r="B238" s="12"/>
      <c r="C238" s="12"/>
      <c r="D238"/>
      <c r="E238" s="19"/>
      <c r="F238" s="23"/>
      <c r="G238" s="22"/>
      <c r="H238" s="22"/>
      <c r="I238" s="22"/>
      <c r="J238" s="22"/>
      <c r="K238" s="22"/>
      <c r="L238" s="23"/>
      <c r="M238" s="24"/>
      <c r="N238" s="22"/>
      <c r="O238" s="22"/>
      <c r="P238" s="22"/>
      <c r="Q238" s="22"/>
      <c r="R238" s="28"/>
      <c r="S238" s="22"/>
      <c r="T238" s="24"/>
      <c r="U238"/>
      <c r="V238"/>
      <c r="W238"/>
      <c r="X238"/>
      <c r="Y238"/>
      <c r="Z238" s="12"/>
      <c r="AA238" s="12"/>
      <c r="AB238" s="12"/>
      <c r="AC238" s="12"/>
      <c r="AD238" s="12"/>
      <c r="AE238" s="12"/>
      <c r="AF238" s="12"/>
      <c r="AG238" s="12"/>
      <c r="AH238" s="12"/>
      <c r="AI238" s="12"/>
    </row>
    <row r="239" spans="1:35" s="10" customFormat="1" x14ac:dyDescent="0.35">
      <c r="A239" s="12"/>
      <c r="B239" s="12"/>
      <c r="C239" s="12"/>
      <c r="D239"/>
      <c r="E239" s="19"/>
      <c r="F239" s="23"/>
      <c r="G239" s="22"/>
      <c r="H239" s="25"/>
      <c r="I239" s="22"/>
      <c r="J239" s="22"/>
      <c r="K239" s="22"/>
      <c r="L239" s="23"/>
      <c r="M239" s="24"/>
      <c r="N239" s="22"/>
      <c r="O239" s="22"/>
      <c r="P239" s="22"/>
      <c r="Q239" s="22"/>
      <c r="R239" s="28"/>
      <c r="S239" s="22"/>
      <c r="T239" s="24"/>
      <c r="U239"/>
      <c r="V239"/>
      <c r="W239"/>
      <c r="X239"/>
      <c r="Y239"/>
      <c r="Z239" s="12"/>
      <c r="AA239" s="12"/>
      <c r="AB239" s="12"/>
      <c r="AC239" s="12"/>
      <c r="AD239" s="12"/>
      <c r="AE239" s="12"/>
      <c r="AF239" s="12"/>
      <c r="AG239" s="12"/>
      <c r="AH239" s="12"/>
      <c r="AI239" s="12"/>
    </row>
    <row r="240" spans="1:35" s="10" customFormat="1" x14ac:dyDescent="0.35">
      <c r="A240" s="12"/>
      <c r="B240" s="12"/>
      <c r="C240" s="12"/>
      <c r="D240"/>
      <c r="E240" s="19"/>
      <c r="F240" s="23"/>
      <c r="G240" s="22"/>
      <c r="H240" s="22"/>
      <c r="I240" s="22"/>
      <c r="J240" s="22"/>
      <c r="K240" s="22"/>
      <c r="L240" s="23"/>
      <c r="M240" s="24"/>
      <c r="N240" s="22"/>
      <c r="O240" s="22"/>
      <c r="P240" s="22"/>
      <c r="Q240" s="22"/>
      <c r="R240" s="28"/>
      <c r="S240" s="22"/>
      <c r="T240" s="24"/>
      <c r="U240"/>
      <c r="V240"/>
      <c r="W240"/>
      <c r="X240"/>
      <c r="Y240"/>
      <c r="Z240" s="12"/>
      <c r="AA240" s="12"/>
      <c r="AB240" s="12"/>
      <c r="AC240" s="12"/>
      <c r="AD240" s="12"/>
      <c r="AE240" s="12"/>
      <c r="AF240" s="12"/>
      <c r="AG240" s="12"/>
      <c r="AH240" s="12"/>
      <c r="AI240" s="12"/>
    </row>
    <row r="241" spans="1:35" s="10" customFormat="1" x14ac:dyDescent="0.35">
      <c r="A241" s="12"/>
      <c r="B241" s="12"/>
      <c r="C241" s="12"/>
      <c r="D241"/>
      <c r="E241" s="19"/>
      <c r="F241" s="23"/>
      <c r="G241" s="22"/>
      <c r="H241" s="22"/>
      <c r="I241" s="22"/>
      <c r="J241" s="22"/>
      <c r="K241" s="22"/>
      <c r="L241" s="23"/>
      <c r="M241" s="24"/>
      <c r="N241" s="22"/>
      <c r="O241" s="22"/>
      <c r="P241" s="22"/>
      <c r="Q241" s="22"/>
      <c r="R241" s="28"/>
      <c r="S241" s="22"/>
      <c r="T241" s="24"/>
      <c r="U241"/>
      <c r="V241"/>
      <c r="W241"/>
      <c r="X241"/>
      <c r="Y241"/>
      <c r="Z241" s="12"/>
      <c r="AA241" s="12"/>
      <c r="AB241" s="12"/>
      <c r="AC241" s="12"/>
      <c r="AD241" s="12"/>
      <c r="AE241" s="12"/>
      <c r="AF241" s="12"/>
      <c r="AG241" s="12"/>
      <c r="AH241" s="12"/>
      <c r="AI241" s="12"/>
    </row>
    <row r="242" spans="1:35" s="10" customFormat="1" x14ac:dyDescent="0.35">
      <c r="A242" s="12"/>
      <c r="B242" s="12"/>
      <c r="C242" s="12"/>
      <c r="D242"/>
      <c r="E242" s="22"/>
      <c r="F242" s="23"/>
      <c r="G242" s="22"/>
      <c r="H242" s="22"/>
      <c r="I242" s="22"/>
      <c r="J242" s="22"/>
      <c r="K242" s="22"/>
      <c r="L242" s="23"/>
      <c r="M242" s="24"/>
      <c r="N242" s="22"/>
      <c r="O242" s="22"/>
      <c r="P242" s="22"/>
      <c r="Q242" s="22"/>
      <c r="R242" s="28"/>
      <c r="S242" s="22"/>
      <c r="T242" s="24"/>
      <c r="U242"/>
      <c r="V242"/>
      <c r="W242"/>
      <c r="X242"/>
      <c r="Y242"/>
      <c r="Z242" s="12"/>
      <c r="AA242" s="12"/>
      <c r="AB242" s="12"/>
      <c r="AC242" s="12"/>
      <c r="AD242" s="12"/>
      <c r="AE242" s="12"/>
      <c r="AF242" s="12"/>
      <c r="AG242" s="12"/>
      <c r="AH242" s="12"/>
      <c r="AI242" s="12"/>
    </row>
    <row r="243" spans="1:35" s="10" customFormat="1" x14ac:dyDescent="0.35">
      <c r="A243" s="12"/>
      <c r="B243" s="12"/>
      <c r="C243" s="12"/>
      <c r="D243"/>
      <c r="E243" s="22"/>
      <c r="F243" s="23"/>
      <c r="G243" s="22"/>
      <c r="H243" s="22"/>
      <c r="I243" s="22"/>
      <c r="J243" s="22"/>
      <c r="K243" s="22"/>
      <c r="L243" s="23"/>
      <c r="M243" s="24"/>
      <c r="N243" s="22"/>
      <c r="O243" s="22"/>
      <c r="P243" s="22"/>
      <c r="Q243" s="22"/>
      <c r="R243" s="28"/>
      <c r="S243" s="22"/>
      <c r="T243" s="24"/>
      <c r="U243"/>
      <c r="V243"/>
      <c r="W243"/>
      <c r="X243"/>
      <c r="Y243"/>
      <c r="Z243" s="12"/>
      <c r="AA243" s="12"/>
      <c r="AB243" s="12"/>
      <c r="AC243" s="12"/>
      <c r="AD243" s="12"/>
      <c r="AE243" s="12"/>
      <c r="AF243" s="12"/>
      <c r="AG243" s="12"/>
      <c r="AH243" s="12"/>
      <c r="AI243" s="12"/>
    </row>
    <row r="244" spans="1:35" s="10" customFormat="1" x14ac:dyDescent="0.35">
      <c r="A244" s="12"/>
      <c r="B244" s="12"/>
      <c r="C244" s="12"/>
      <c r="D244"/>
      <c r="E244" s="22"/>
      <c r="F244" s="23"/>
      <c r="G244" s="22"/>
      <c r="H244" s="22"/>
      <c r="I244" s="22"/>
      <c r="J244" s="22"/>
      <c r="K244" s="22"/>
      <c r="L244" s="23"/>
      <c r="M244" s="24"/>
      <c r="N244" s="22"/>
      <c r="O244" s="22"/>
      <c r="P244" s="22"/>
      <c r="Q244" s="22"/>
      <c r="R244" s="28"/>
      <c r="S244" s="22"/>
      <c r="T244" s="24"/>
      <c r="U244"/>
      <c r="V244"/>
      <c r="W244"/>
      <c r="X244"/>
      <c r="Y244"/>
      <c r="Z244" s="12"/>
      <c r="AA244" s="12"/>
      <c r="AB244" s="12"/>
      <c r="AC244" s="12"/>
      <c r="AD244" s="12"/>
      <c r="AE244" s="12"/>
      <c r="AF244" s="12"/>
      <c r="AG244" s="12"/>
      <c r="AH244" s="12"/>
      <c r="AI244" s="12"/>
    </row>
    <row r="245" spans="1:35" s="10" customFormat="1" x14ac:dyDescent="0.35">
      <c r="A245" s="12"/>
      <c r="B245" s="12"/>
      <c r="C245" s="12"/>
      <c r="D245"/>
      <c r="E245" s="24"/>
      <c r="F245" s="23"/>
      <c r="G245" s="23"/>
      <c r="H245" s="23"/>
      <c r="I245" s="22"/>
      <c r="J245" s="22"/>
      <c r="K245" s="22"/>
      <c r="L245" s="22"/>
      <c r="M245" s="24"/>
      <c r="N245" s="22"/>
      <c r="O245" s="22"/>
      <c r="P245" s="22"/>
      <c r="Q245" s="22"/>
      <c r="R245" s="28"/>
      <c r="S245" s="22"/>
      <c r="T245" s="24"/>
      <c r="U245"/>
      <c r="V245"/>
      <c r="W245"/>
      <c r="X245"/>
      <c r="Y245"/>
      <c r="Z245" s="12"/>
      <c r="AA245" s="12"/>
      <c r="AB245" s="12"/>
      <c r="AC245" s="12"/>
      <c r="AD245" s="12"/>
      <c r="AE245" s="12"/>
      <c r="AF245" s="12"/>
      <c r="AG245" s="12"/>
      <c r="AH245" s="12"/>
      <c r="AI245" s="12"/>
    </row>
    <row r="246" spans="1:35" s="10" customFormat="1" x14ac:dyDescent="0.35">
      <c r="A246" s="12"/>
      <c r="B246" s="12"/>
      <c r="C246" s="12"/>
      <c r="D246"/>
      <c r="E246" s="24"/>
      <c r="F246" s="23"/>
      <c r="G246" s="23"/>
      <c r="H246" s="23"/>
      <c r="I246" s="22"/>
      <c r="J246" s="22"/>
      <c r="K246" s="22"/>
      <c r="L246" s="22"/>
      <c r="M246" s="24"/>
      <c r="N246" s="22"/>
      <c r="O246" s="22"/>
      <c r="P246" s="22"/>
      <c r="Q246" s="23"/>
      <c r="R246" s="23"/>
      <c r="S246" s="22"/>
      <c r="T246" s="24"/>
      <c r="U246"/>
      <c r="V246"/>
      <c r="W246"/>
      <c r="X246"/>
      <c r="Y246"/>
      <c r="Z246" s="12"/>
      <c r="AA246" s="12"/>
      <c r="AB246" s="12"/>
      <c r="AC246" s="12"/>
      <c r="AD246" s="12"/>
      <c r="AE246" s="12"/>
      <c r="AF246" s="12"/>
      <c r="AG246" s="12"/>
      <c r="AH246" s="12"/>
      <c r="AI246" s="12"/>
    </row>
    <row r="247" spans="1:35" s="10" customFormat="1" x14ac:dyDescent="0.35">
      <c r="A247" s="12"/>
      <c r="B247" s="12"/>
      <c r="C247" s="12"/>
      <c r="D247"/>
      <c r="E247" s="24"/>
      <c r="F247" s="23"/>
      <c r="G247" s="23"/>
      <c r="H247" s="23"/>
      <c r="I247" s="22"/>
      <c r="J247" s="22"/>
      <c r="K247" s="22"/>
      <c r="L247" s="22"/>
      <c r="M247" s="24"/>
      <c r="N247" s="22"/>
      <c r="O247" s="22"/>
      <c r="P247" s="22"/>
      <c r="Q247" s="23"/>
      <c r="R247" s="23"/>
      <c r="S247" s="22"/>
      <c r="T247" s="24"/>
      <c r="U247"/>
      <c r="V247"/>
      <c r="W247"/>
      <c r="X247"/>
      <c r="Y247"/>
      <c r="Z247" s="12"/>
      <c r="AA247" s="12"/>
      <c r="AB247" s="12"/>
      <c r="AC247" s="12"/>
      <c r="AD247" s="12"/>
      <c r="AE247" s="12"/>
      <c r="AF247" s="12"/>
      <c r="AG247" s="12"/>
      <c r="AH247" s="12"/>
      <c r="AI247" s="12"/>
    </row>
    <row r="248" spans="1:35" s="10" customFormat="1" x14ac:dyDescent="0.35">
      <c r="A248" s="12"/>
      <c r="B248" s="12"/>
      <c r="C248" s="12"/>
      <c r="D248"/>
      <c r="E248" s="24"/>
      <c r="F248" s="23"/>
      <c r="G248" s="23"/>
      <c r="H248" s="26"/>
      <c r="I248" s="22"/>
      <c r="J248" s="22"/>
      <c r="K248" s="22"/>
      <c r="L248" s="22"/>
      <c r="M248" s="24"/>
      <c r="N248" s="22"/>
      <c r="O248" s="22"/>
      <c r="P248" s="22"/>
      <c r="Q248" s="23"/>
      <c r="R248" s="23"/>
      <c r="S248" s="22"/>
      <c r="T248" s="24"/>
      <c r="U248"/>
      <c r="V248"/>
      <c r="W248"/>
      <c r="X248"/>
      <c r="Y248"/>
      <c r="Z248" s="12"/>
      <c r="AA248" s="12"/>
      <c r="AB248" s="12"/>
      <c r="AC248" s="12"/>
      <c r="AD248" s="12"/>
      <c r="AE248" s="12"/>
      <c r="AF248" s="12"/>
      <c r="AG248" s="12"/>
      <c r="AH248" s="12"/>
      <c r="AI248" s="12"/>
    </row>
    <row r="249" spans="1:35" s="10" customFormat="1" x14ac:dyDescent="0.35">
      <c r="A249" s="12"/>
      <c r="B249" s="12"/>
      <c r="C249" s="12"/>
      <c r="D249"/>
      <c r="E249" s="24"/>
      <c r="F249" s="23"/>
      <c r="G249" s="23"/>
      <c r="H249" s="26"/>
      <c r="I249" s="22"/>
      <c r="J249" s="22"/>
      <c r="K249" s="22"/>
      <c r="L249" s="22"/>
      <c r="M249" s="24"/>
      <c r="N249" s="22"/>
      <c r="O249" s="22"/>
      <c r="P249" s="22"/>
      <c r="Q249" s="23"/>
      <c r="R249" s="23"/>
      <c r="S249" s="22"/>
      <c r="T249" s="24"/>
      <c r="U249"/>
      <c r="V249"/>
      <c r="W249"/>
      <c r="X249"/>
      <c r="Y249"/>
      <c r="Z249" s="12"/>
      <c r="AA249" s="12"/>
      <c r="AB249" s="12"/>
      <c r="AC249" s="12"/>
      <c r="AD249" s="12"/>
      <c r="AE249" s="12"/>
      <c r="AF249" s="12"/>
      <c r="AG249" s="12"/>
      <c r="AH249" s="12"/>
      <c r="AI249" s="12"/>
    </row>
    <row r="250" spans="1:35" s="10" customFormat="1" x14ac:dyDescent="0.35">
      <c r="A250" s="12"/>
      <c r="B250" s="12"/>
      <c r="C250" s="12"/>
      <c r="D250"/>
      <c r="E250" s="24"/>
      <c r="F250" s="23"/>
      <c r="G250" s="23"/>
      <c r="H250" s="26"/>
      <c r="I250" s="22"/>
      <c r="J250" s="22"/>
      <c r="K250" s="22"/>
      <c r="L250" s="22"/>
      <c r="M250" s="24"/>
      <c r="N250" s="22"/>
      <c r="O250" s="22"/>
      <c r="P250" s="22"/>
      <c r="Q250" s="23"/>
      <c r="R250" s="23"/>
      <c r="S250" s="22"/>
      <c r="T250" s="24"/>
      <c r="U250"/>
      <c r="V250"/>
      <c r="W250"/>
      <c r="X250"/>
      <c r="Y250"/>
      <c r="Z250" s="12"/>
      <c r="AA250" s="12"/>
      <c r="AB250" s="12"/>
      <c r="AC250" s="12"/>
      <c r="AD250" s="12"/>
      <c r="AE250" s="12"/>
      <c r="AF250" s="12"/>
      <c r="AG250" s="12"/>
      <c r="AH250" s="12"/>
      <c r="AI250" s="12"/>
    </row>
    <row r="251" spans="1:35" s="10" customFormat="1" x14ac:dyDescent="0.35">
      <c r="A251" s="12"/>
      <c r="B251" s="12"/>
      <c r="C251" s="12"/>
      <c r="D251"/>
      <c r="E251" s="24"/>
      <c r="F251" s="23"/>
      <c r="G251" s="23"/>
      <c r="H251" s="26"/>
      <c r="I251" s="22"/>
      <c r="J251" s="22"/>
      <c r="K251" s="22"/>
      <c r="L251" s="22"/>
      <c r="M251" s="24"/>
      <c r="N251" s="22"/>
      <c r="O251" s="22"/>
      <c r="P251" s="22"/>
      <c r="Q251" s="23"/>
      <c r="R251" s="23"/>
      <c r="S251" s="22"/>
      <c r="T251" s="24"/>
      <c r="U251"/>
      <c r="V251"/>
      <c r="W251"/>
      <c r="X251"/>
      <c r="Y251"/>
      <c r="Z251" s="12"/>
      <c r="AA251" s="12"/>
      <c r="AB251" s="12"/>
      <c r="AC251" s="12"/>
      <c r="AD251" s="12"/>
      <c r="AE251" s="12"/>
      <c r="AF251" s="12"/>
      <c r="AG251" s="12"/>
      <c r="AH251" s="12"/>
      <c r="AI251" s="12"/>
    </row>
    <row r="252" spans="1:35" s="10" customFormat="1" x14ac:dyDescent="0.35">
      <c r="A252" s="12"/>
      <c r="B252" s="12"/>
      <c r="C252" s="12"/>
      <c r="D252"/>
      <c r="E252" s="24"/>
      <c r="F252" s="23"/>
      <c r="G252" s="23"/>
      <c r="H252" s="26"/>
      <c r="I252" s="22"/>
      <c r="J252" s="22"/>
      <c r="K252" s="22"/>
      <c r="L252" s="22"/>
      <c r="M252" s="24"/>
      <c r="N252" s="22"/>
      <c r="O252" s="22"/>
      <c r="P252" s="22"/>
      <c r="Q252" s="23"/>
      <c r="R252" s="23"/>
      <c r="S252" s="22"/>
      <c r="T252" s="24"/>
      <c r="U252"/>
      <c r="V252"/>
      <c r="W252"/>
      <c r="X252"/>
      <c r="Y252"/>
      <c r="Z252" s="12"/>
      <c r="AA252" s="12"/>
      <c r="AB252" s="12"/>
      <c r="AC252" s="12"/>
      <c r="AD252" s="12"/>
      <c r="AE252" s="12"/>
      <c r="AF252" s="12"/>
      <c r="AG252" s="12"/>
      <c r="AH252" s="12"/>
      <c r="AI252" s="12"/>
    </row>
    <row r="253" spans="1:35" s="10" customFormat="1" x14ac:dyDescent="0.35">
      <c r="A253" s="12"/>
      <c r="B253" s="12"/>
      <c r="C253" s="12"/>
      <c r="D253"/>
      <c r="E253" s="24"/>
      <c r="F253" s="23"/>
      <c r="G253" s="23"/>
      <c r="H253" s="26"/>
      <c r="I253" s="22"/>
      <c r="J253" s="22"/>
      <c r="K253" s="22"/>
      <c r="L253" s="22"/>
      <c r="M253" s="24"/>
      <c r="N253" s="22"/>
      <c r="O253" s="22"/>
      <c r="P253" s="22"/>
      <c r="Q253" s="23"/>
      <c r="R253" s="23"/>
      <c r="S253" s="22"/>
      <c r="T253" s="24"/>
      <c r="U253"/>
      <c r="V253"/>
      <c r="W253"/>
      <c r="X253"/>
      <c r="Y253"/>
      <c r="Z253" s="12"/>
      <c r="AA253" s="12"/>
      <c r="AB253" s="12"/>
      <c r="AC253" s="12"/>
      <c r="AD253" s="12"/>
      <c r="AE253" s="12"/>
      <c r="AF253" s="12"/>
      <c r="AG253" s="12"/>
      <c r="AH253" s="12"/>
      <c r="AI253" s="12"/>
    </row>
    <row r="254" spans="1:35" s="10" customFormat="1" x14ac:dyDescent="0.35">
      <c r="A254" s="12"/>
      <c r="B254" s="12"/>
      <c r="C254" s="12"/>
      <c r="D254"/>
      <c r="E254" s="24"/>
      <c r="F254" s="23"/>
      <c r="G254" s="23"/>
      <c r="H254" s="26"/>
      <c r="I254" s="22"/>
      <c r="J254" s="22"/>
      <c r="K254" s="22"/>
      <c r="L254" s="22"/>
      <c r="M254" s="24"/>
      <c r="N254" s="22"/>
      <c r="O254" s="22"/>
      <c r="P254" s="22"/>
      <c r="Q254" s="23"/>
      <c r="R254" s="23"/>
      <c r="S254" s="22"/>
      <c r="T254" s="24"/>
      <c r="U254"/>
      <c r="V254"/>
      <c r="W254"/>
      <c r="X254"/>
      <c r="Y254"/>
      <c r="Z254" s="12"/>
      <c r="AA254" s="12"/>
      <c r="AB254" s="12"/>
      <c r="AC254" s="12"/>
      <c r="AD254" s="12"/>
      <c r="AE254" s="12"/>
      <c r="AF254" s="12"/>
      <c r="AG254" s="12"/>
      <c r="AH254" s="12"/>
      <c r="AI254" s="12"/>
    </row>
    <row r="255" spans="1:35" s="10" customFormat="1" x14ac:dyDescent="0.35">
      <c r="A255" s="12"/>
      <c r="B255" s="12"/>
      <c r="C255" s="12"/>
      <c r="D255"/>
      <c r="E255" s="24"/>
      <c r="F255" s="23"/>
      <c r="G255" s="23"/>
      <c r="H255" s="26"/>
      <c r="I255" s="22"/>
      <c r="J255" s="22"/>
      <c r="K255" s="22"/>
      <c r="L255" s="22"/>
      <c r="M255" s="21"/>
      <c r="N255" s="22"/>
      <c r="O255" s="22"/>
      <c r="P255" s="22"/>
      <c r="Q255" s="22"/>
      <c r="R255" s="28"/>
      <c r="S255" s="22"/>
      <c r="T255" s="20"/>
      <c r="U255"/>
      <c r="V255"/>
      <c r="W255"/>
      <c r="X255"/>
      <c r="Y255"/>
      <c r="Z255" s="12"/>
      <c r="AA255" s="12"/>
      <c r="AB255" s="12"/>
      <c r="AC255" s="12"/>
      <c r="AD255" s="12"/>
      <c r="AE255" s="12"/>
      <c r="AF255" s="12"/>
      <c r="AG255" s="12"/>
      <c r="AH255" s="12"/>
      <c r="AI255" s="12"/>
    </row>
    <row r="256" spans="1:35" s="10" customFormat="1" x14ac:dyDescent="0.35">
      <c r="A256" s="12"/>
      <c r="B256" s="12"/>
      <c r="C256" s="12"/>
      <c r="D256"/>
      <c r="E256" s="24"/>
      <c r="F256" s="23"/>
      <c r="G256" s="22"/>
      <c r="H256" s="22"/>
      <c r="I256" s="22"/>
      <c r="J256" s="22"/>
      <c r="K256" s="22"/>
      <c r="L256" s="22"/>
      <c r="M256" s="21"/>
      <c r="N256" s="22"/>
      <c r="O256" s="22"/>
      <c r="P256" s="22"/>
      <c r="Q256" s="22"/>
      <c r="R256" s="22"/>
      <c r="S256" s="22"/>
      <c r="T256" s="19"/>
      <c r="U256"/>
      <c r="V256"/>
      <c r="W256"/>
      <c r="X256"/>
      <c r="Y256"/>
      <c r="Z256" s="12"/>
      <c r="AA256" s="12"/>
      <c r="AB256" s="12"/>
      <c r="AC256" s="12"/>
      <c r="AD256" s="12"/>
      <c r="AE256" s="12"/>
      <c r="AF256" s="12"/>
      <c r="AG256" s="12"/>
      <c r="AH256" s="12"/>
      <c r="AI256" s="12"/>
    </row>
    <row r="257" spans="1:35" s="10" customFormat="1" x14ac:dyDescent="0.35">
      <c r="A257" s="12"/>
      <c r="B257" s="12"/>
      <c r="C257" s="12"/>
      <c r="D257"/>
      <c r="E257" s="24"/>
      <c r="F257" s="23"/>
      <c r="G257" s="23"/>
      <c r="H257" s="26"/>
      <c r="I257" s="22"/>
      <c r="J257" s="22"/>
      <c r="K257" s="22"/>
      <c r="L257" s="22"/>
      <c r="M257" s="24"/>
      <c r="N257" s="22"/>
      <c r="O257" s="22"/>
      <c r="P257" s="22"/>
      <c r="Q257" s="22"/>
      <c r="R257" s="28"/>
      <c r="S257" s="22"/>
      <c r="T257" s="24"/>
      <c r="U257"/>
      <c r="V257"/>
      <c r="W257"/>
      <c r="X257"/>
      <c r="Y257"/>
      <c r="Z257" s="12"/>
      <c r="AA257" s="12"/>
      <c r="AB257" s="12"/>
      <c r="AC257" s="12"/>
      <c r="AD257" s="12"/>
      <c r="AE257" s="12"/>
      <c r="AF257" s="12"/>
      <c r="AG257" s="12"/>
      <c r="AH257" s="12"/>
      <c r="AI257" s="12"/>
    </row>
    <row r="258" spans="1:35" s="10" customFormat="1" x14ac:dyDescent="0.35">
      <c r="A258" s="12"/>
      <c r="B258" s="12"/>
      <c r="C258" s="12"/>
      <c r="D258"/>
      <c r="E258" s="19"/>
      <c r="F258" s="23"/>
      <c r="G258" s="22"/>
      <c r="H258" s="22"/>
      <c r="I258" s="22"/>
      <c r="J258" s="22"/>
      <c r="K258" s="22"/>
      <c r="L258" s="23"/>
      <c r="M258" s="24"/>
      <c r="N258" s="22"/>
      <c r="O258" s="22"/>
      <c r="P258" s="22"/>
      <c r="Q258" s="22"/>
      <c r="R258" s="28"/>
      <c r="S258" s="22"/>
      <c r="T258" s="24"/>
      <c r="U258"/>
      <c r="V258"/>
      <c r="W258"/>
      <c r="X258"/>
      <c r="Y258"/>
      <c r="Z258" s="12"/>
      <c r="AA258" s="12"/>
      <c r="AB258" s="12"/>
      <c r="AC258" s="12"/>
      <c r="AD258" s="12"/>
      <c r="AE258" s="12"/>
      <c r="AF258" s="12"/>
      <c r="AG258" s="12"/>
      <c r="AH258" s="12"/>
      <c r="AI258" s="12"/>
    </row>
    <row r="259" spans="1:35" s="10" customFormat="1" x14ac:dyDescent="0.35">
      <c r="A259" s="12"/>
      <c r="B259" s="12"/>
      <c r="C259" s="12"/>
      <c r="D259"/>
      <c r="E259" s="19"/>
      <c r="F259" s="23"/>
      <c r="G259" s="22"/>
      <c r="H259" s="22"/>
      <c r="I259" s="22"/>
      <c r="J259" s="22"/>
      <c r="K259" s="22"/>
      <c r="L259" s="23"/>
      <c r="M259" s="24"/>
      <c r="N259" s="22"/>
      <c r="O259" s="22"/>
      <c r="P259" s="22"/>
      <c r="Q259" s="22"/>
      <c r="R259" s="28"/>
      <c r="S259" s="22"/>
      <c r="T259" s="24"/>
      <c r="U259"/>
      <c r="V259"/>
      <c r="W259"/>
      <c r="X259"/>
      <c r="Y259"/>
      <c r="Z259" s="12"/>
      <c r="AA259" s="12"/>
      <c r="AB259" s="12"/>
      <c r="AC259" s="12"/>
      <c r="AD259" s="12"/>
      <c r="AE259" s="12"/>
      <c r="AF259" s="12"/>
      <c r="AG259" s="12"/>
      <c r="AH259" s="12"/>
      <c r="AI259" s="12"/>
    </row>
    <row r="260" spans="1:35" s="10" customFormat="1" x14ac:dyDescent="0.35">
      <c r="A260" s="12"/>
      <c r="B260" s="12"/>
      <c r="C260" s="12"/>
      <c r="D260"/>
      <c r="E260" s="19"/>
      <c r="F260" s="23"/>
      <c r="G260" s="22"/>
      <c r="H260" s="25"/>
      <c r="I260" s="22"/>
      <c r="J260" s="22"/>
      <c r="K260" s="22"/>
      <c r="L260" s="23"/>
      <c r="M260" s="24"/>
      <c r="N260" s="22"/>
      <c r="O260" s="22"/>
      <c r="P260" s="22"/>
      <c r="Q260" s="22"/>
      <c r="R260" s="28"/>
      <c r="S260" s="22"/>
      <c r="T260" s="24"/>
      <c r="U260"/>
      <c r="V260"/>
      <c r="W260"/>
      <c r="X260"/>
      <c r="Y260"/>
      <c r="Z260" s="12"/>
      <c r="AA260" s="12"/>
      <c r="AB260" s="12"/>
      <c r="AC260" s="12"/>
      <c r="AD260" s="12"/>
      <c r="AE260" s="12"/>
      <c r="AF260" s="12"/>
      <c r="AG260" s="12"/>
      <c r="AH260" s="12"/>
      <c r="AI260" s="12"/>
    </row>
    <row r="261" spans="1:35" s="10" customFormat="1" x14ac:dyDescent="0.35">
      <c r="A261" s="12"/>
      <c r="B261" s="12"/>
      <c r="C261" s="12"/>
      <c r="D261"/>
      <c r="E261" s="19"/>
      <c r="F261" s="23"/>
      <c r="G261" s="22"/>
      <c r="H261" s="22"/>
      <c r="I261" s="22"/>
      <c r="J261" s="22"/>
      <c r="K261" s="22"/>
      <c r="L261" s="23"/>
      <c r="M261" s="24"/>
      <c r="N261" s="22"/>
      <c r="O261" s="22"/>
      <c r="P261" s="22"/>
      <c r="Q261" s="22"/>
      <c r="R261" s="28"/>
      <c r="S261" s="22"/>
      <c r="T261" s="24"/>
      <c r="U261"/>
      <c r="V261"/>
      <c r="W261"/>
      <c r="X261"/>
      <c r="Y261"/>
      <c r="Z261" s="12"/>
      <c r="AA261" s="12"/>
      <c r="AB261" s="12"/>
      <c r="AC261" s="12"/>
      <c r="AD261" s="12"/>
      <c r="AE261" s="12"/>
      <c r="AF261" s="12"/>
      <c r="AG261" s="12"/>
      <c r="AH261" s="12"/>
      <c r="AI261" s="12"/>
    </row>
    <row r="262" spans="1:35" s="10" customFormat="1" x14ac:dyDescent="0.35">
      <c r="A262" s="12"/>
      <c r="B262" s="12"/>
      <c r="C262" s="12"/>
      <c r="D262"/>
      <c r="E262" s="19"/>
      <c r="F262" s="23"/>
      <c r="G262" s="22"/>
      <c r="H262" s="22"/>
      <c r="I262" s="22"/>
      <c r="J262" s="22"/>
      <c r="K262" s="22"/>
      <c r="L262" s="23"/>
      <c r="M262" s="24"/>
      <c r="N262" s="22"/>
      <c r="O262" s="22"/>
      <c r="P262" s="22"/>
      <c r="Q262" s="22"/>
      <c r="R262" s="28"/>
      <c r="S262" s="22"/>
      <c r="T262" s="24"/>
      <c r="U262"/>
      <c r="V262"/>
      <c r="W262"/>
      <c r="X262"/>
      <c r="Y262"/>
      <c r="Z262" s="12"/>
      <c r="AA262" s="12"/>
      <c r="AB262" s="12"/>
      <c r="AC262" s="12"/>
      <c r="AD262" s="12"/>
      <c r="AE262" s="12"/>
      <c r="AF262" s="12"/>
      <c r="AG262" s="12"/>
      <c r="AH262" s="12"/>
      <c r="AI262" s="12"/>
    </row>
    <row r="263" spans="1:35" s="10" customFormat="1" x14ac:dyDescent="0.35">
      <c r="A263" s="12"/>
      <c r="B263" s="12"/>
      <c r="C263" s="12"/>
      <c r="D263"/>
      <c r="E263" s="22"/>
      <c r="F263" s="23"/>
      <c r="G263" s="22"/>
      <c r="H263" s="22"/>
      <c r="I263" s="22"/>
      <c r="J263" s="22"/>
      <c r="K263" s="22"/>
      <c r="L263" s="23"/>
      <c r="M263" s="24"/>
      <c r="N263" s="22"/>
      <c r="O263" s="22"/>
      <c r="P263" s="22"/>
      <c r="Q263" s="22"/>
      <c r="R263" s="28"/>
      <c r="S263" s="22"/>
      <c r="T263" s="24"/>
      <c r="U263"/>
      <c r="V263"/>
      <c r="W263"/>
      <c r="X263"/>
      <c r="Y263"/>
      <c r="Z263" s="12"/>
      <c r="AA263" s="12"/>
      <c r="AB263" s="12"/>
      <c r="AC263" s="12"/>
      <c r="AD263" s="12"/>
      <c r="AE263" s="12"/>
      <c r="AF263" s="12"/>
      <c r="AG263" s="12"/>
      <c r="AH263" s="12"/>
      <c r="AI263" s="12"/>
    </row>
    <row r="264" spans="1:35" s="10" customFormat="1" x14ac:dyDescent="0.35">
      <c r="A264" s="12"/>
      <c r="B264" s="12"/>
      <c r="C264" s="12"/>
      <c r="D264"/>
      <c r="E264" s="22"/>
      <c r="F264" s="23"/>
      <c r="G264" s="22"/>
      <c r="H264" s="22"/>
      <c r="I264" s="22"/>
      <c r="J264" s="22"/>
      <c r="K264" s="22"/>
      <c r="L264" s="23"/>
      <c r="M264" s="24"/>
      <c r="N264" s="22"/>
      <c r="O264" s="22"/>
      <c r="P264" s="22"/>
      <c r="Q264" s="22"/>
      <c r="R264" s="28"/>
      <c r="S264" s="22"/>
      <c r="T264" s="24"/>
      <c r="U264"/>
      <c r="V264"/>
      <c r="W264"/>
      <c r="X264"/>
      <c r="Y264"/>
      <c r="Z264" s="12"/>
      <c r="AA264" s="12"/>
      <c r="AB264" s="12"/>
      <c r="AC264" s="12"/>
      <c r="AD264" s="12"/>
      <c r="AE264" s="12"/>
      <c r="AF264" s="12"/>
      <c r="AG264" s="12"/>
      <c r="AH264" s="12"/>
      <c r="AI264" s="12"/>
    </row>
    <row r="265" spans="1:35" s="10" customFormat="1" x14ac:dyDescent="0.35">
      <c r="A265" s="12"/>
      <c r="B265" s="12"/>
      <c r="C265" s="12"/>
      <c r="D265"/>
      <c r="E265" s="22"/>
      <c r="F265" s="23"/>
      <c r="G265" s="22"/>
      <c r="H265" s="22"/>
      <c r="I265" s="22"/>
      <c r="J265" s="22"/>
      <c r="K265" s="22"/>
      <c r="L265" s="23"/>
      <c r="M265" s="24"/>
      <c r="N265" s="22"/>
      <c r="O265" s="22"/>
      <c r="P265" s="22"/>
      <c r="Q265" s="22"/>
      <c r="R265" s="28"/>
      <c r="S265" s="22"/>
      <c r="T265" s="24"/>
      <c r="U265"/>
      <c r="V265"/>
      <c r="W265"/>
      <c r="X265"/>
      <c r="Y265"/>
      <c r="Z265" s="12"/>
      <c r="AA265" s="12"/>
      <c r="AB265" s="12"/>
      <c r="AC265" s="12"/>
      <c r="AD265" s="12"/>
      <c r="AE265" s="12"/>
      <c r="AF265" s="12"/>
      <c r="AG265" s="12"/>
      <c r="AH265" s="12"/>
      <c r="AI265" s="12"/>
    </row>
    <row r="266" spans="1:35" s="10" customFormat="1" x14ac:dyDescent="0.35">
      <c r="A266" s="12"/>
      <c r="B266" s="12"/>
      <c r="C266" s="12"/>
      <c r="D266"/>
      <c r="E266" s="24"/>
      <c r="F266" s="23"/>
      <c r="G266" s="23"/>
      <c r="H266" s="23"/>
      <c r="I266" s="22"/>
      <c r="J266" s="22"/>
      <c r="K266" s="22"/>
      <c r="L266" s="22"/>
      <c r="M266" s="24"/>
      <c r="N266" s="22"/>
      <c r="O266" s="22"/>
      <c r="P266" s="22"/>
      <c r="Q266" s="22"/>
      <c r="R266" s="28"/>
      <c r="S266" s="22"/>
      <c r="T266" s="24"/>
      <c r="U266"/>
      <c r="V266"/>
      <c r="W266"/>
      <c r="X266"/>
      <c r="Y266"/>
      <c r="Z266" s="12"/>
      <c r="AA266" s="12"/>
      <c r="AB266" s="12"/>
      <c r="AC266" s="12"/>
      <c r="AD266" s="12"/>
      <c r="AE266" s="12"/>
      <c r="AF266" s="12"/>
      <c r="AG266" s="12"/>
      <c r="AH266" s="12"/>
      <c r="AI266" s="12"/>
    </row>
    <row r="267" spans="1:35" s="10" customFormat="1" x14ac:dyDescent="0.35">
      <c r="A267" s="12"/>
      <c r="B267" s="12"/>
      <c r="C267" s="12"/>
      <c r="D267"/>
      <c r="E267" s="24"/>
      <c r="F267" s="23"/>
      <c r="G267" s="23"/>
      <c r="H267" s="23"/>
      <c r="I267" s="22"/>
      <c r="J267" s="22"/>
      <c r="K267" s="22"/>
      <c r="L267" s="22"/>
      <c r="M267" s="24"/>
      <c r="N267" s="22"/>
      <c r="O267" s="22"/>
      <c r="P267" s="22"/>
      <c r="Q267" s="23"/>
      <c r="R267" s="23"/>
      <c r="S267" s="22"/>
      <c r="T267" s="24"/>
      <c r="U267"/>
      <c r="V267"/>
      <c r="W267"/>
      <c r="X267"/>
      <c r="Y267"/>
      <c r="Z267" s="12"/>
      <c r="AA267" s="12"/>
      <c r="AB267" s="12"/>
      <c r="AC267" s="12"/>
      <c r="AD267" s="12"/>
      <c r="AE267" s="12"/>
      <c r="AF267" s="12"/>
      <c r="AG267" s="12"/>
      <c r="AH267" s="12"/>
      <c r="AI267" s="12"/>
    </row>
    <row r="268" spans="1:35" s="10" customFormat="1" x14ac:dyDescent="0.35">
      <c r="A268" s="12"/>
      <c r="B268" s="12"/>
      <c r="C268" s="12"/>
      <c r="D268"/>
      <c r="E268" s="24"/>
      <c r="F268" s="23"/>
      <c r="G268" s="23"/>
      <c r="H268" s="23"/>
      <c r="I268" s="22"/>
      <c r="J268" s="22"/>
      <c r="K268" s="22"/>
      <c r="L268" s="22"/>
      <c r="M268" s="24"/>
      <c r="N268" s="22"/>
      <c r="O268" s="22"/>
      <c r="P268" s="22"/>
      <c r="Q268" s="23"/>
      <c r="R268" s="23"/>
      <c r="S268" s="22"/>
      <c r="T268" s="24"/>
      <c r="U268"/>
      <c r="V268"/>
      <c r="W268"/>
      <c r="X268"/>
      <c r="Y268"/>
      <c r="Z268" s="12"/>
      <c r="AA268" s="12"/>
      <c r="AB268" s="12"/>
      <c r="AC268" s="12"/>
      <c r="AD268" s="12"/>
      <c r="AE268" s="12"/>
      <c r="AF268" s="12"/>
      <c r="AG268" s="12"/>
      <c r="AH268" s="12"/>
      <c r="AI268" s="12"/>
    </row>
    <row r="269" spans="1:35" s="10" customFormat="1" x14ac:dyDescent="0.35">
      <c r="A269" s="12"/>
      <c r="B269" s="12"/>
      <c r="C269" s="12"/>
      <c r="D269"/>
      <c r="E269" s="24"/>
      <c r="F269" s="23"/>
      <c r="G269" s="23"/>
      <c r="H269" s="26"/>
      <c r="I269" s="22"/>
      <c r="J269" s="22"/>
      <c r="K269" s="22"/>
      <c r="L269" s="22"/>
      <c r="M269" s="24"/>
      <c r="N269" s="22"/>
      <c r="O269" s="22"/>
      <c r="P269" s="22"/>
      <c r="Q269" s="23"/>
      <c r="R269" s="23"/>
      <c r="S269" s="22"/>
      <c r="T269" s="24"/>
      <c r="U269"/>
      <c r="V269"/>
      <c r="W269"/>
      <c r="X269"/>
      <c r="Y269"/>
      <c r="Z269" s="12"/>
      <c r="AA269" s="12"/>
      <c r="AB269" s="12"/>
      <c r="AC269" s="12"/>
      <c r="AD269" s="12"/>
      <c r="AE269" s="12"/>
      <c r="AF269" s="12"/>
      <c r="AG269" s="12"/>
      <c r="AH269" s="12"/>
      <c r="AI269" s="12"/>
    </row>
    <row r="270" spans="1:35" s="10" customFormat="1" x14ac:dyDescent="0.35">
      <c r="A270" s="12"/>
      <c r="B270" s="12"/>
      <c r="C270" s="12"/>
      <c r="D270"/>
      <c r="E270" s="24"/>
      <c r="F270" s="23"/>
      <c r="G270" s="23"/>
      <c r="H270" s="26"/>
      <c r="I270" s="22"/>
      <c r="J270" s="22"/>
      <c r="K270" s="22"/>
      <c r="L270" s="22"/>
      <c r="M270" s="24"/>
      <c r="N270" s="22"/>
      <c r="O270" s="22"/>
      <c r="P270" s="22"/>
      <c r="Q270" s="23"/>
      <c r="R270" s="23"/>
      <c r="S270" s="22"/>
      <c r="T270" s="24"/>
      <c r="U270"/>
      <c r="V270"/>
      <c r="W270"/>
      <c r="X270"/>
      <c r="Y270"/>
      <c r="Z270" s="12"/>
      <c r="AA270" s="12"/>
      <c r="AB270" s="12"/>
      <c r="AC270" s="12"/>
      <c r="AD270" s="12"/>
      <c r="AE270" s="12"/>
      <c r="AF270" s="12"/>
      <c r="AG270" s="12"/>
      <c r="AH270" s="12"/>
      <c r="AI270" s="12"/>
    </row>
    <row r="271" spans="1:35" s="10" customFormat="1" x14ac:dyDescent="0.35">
      <c r="A271" s="12"/>
      <c r="B271" s="12"/>
      <c r="C271" s="12"/>
      <c r="D271"/>
      <c r="E271" s="24"/>
      <c r="F271" s="23"/>
      <c r="G271" s="23"/>
      <c r="H271" s="26"/>
      <c r="I271" s="22"/>
      <c r="J271" s="22"/>
      <c r="K271" s="22"/>
      <c r="L271" s="22"/>
      <c r="M271" s="24"/>
      <c r="N271" s="22"/>
      <c r="O271" s="22"/>
      <c r="P271" s="22"/>
      <c r="Q271" s="23"/>
      <c r="R271" s="23"/>
      <c r="S271" s="22"/>
      <c r="T271" s="24"/>
      <c r="U271"/>
      <c r="V271"/>
      <c r="W271"/>
      <c r="X271"/>
      <c r="Y271"/>
      <c r="Z271" s="12"/>
      <c r="AA271" s="12"/>
      <c r="AB271" s="12"/>
      <c r="AC271" s="12"/>
      <c r="AD271" s="12"/>
      <c r="AE271" s="12"/>
      <c r="AF271" s="12"/>
      <c r="AG271" s="12"/>
      <c r="AH271" s="12"/>
      <c r="AI271" s="12"/>
    </row>
    <row r="272" spans="1:35" s="10" customFormat="1" x14ac:dyDescent="0.35">
      <c r="A272" s="12"/>
      <c r="B272" s="12"/>
      <c r="C272" s="12"/>
      <c r="D272"/>
      <c r="E272" s="24"/>
      <c r="F272" s="23"/>
      <c r="G272" s="23"/>
      <c r="H272" s="26"/>
      <c r="I272" s="22"/>
      <c r="J272" s="22"/>
      <c r="K272" s="22"/>
      <c r="L272" s="22"/>
      <c r="M272" s="24"/>
      <c r="N272" s="22"/>
      <c r="O272" s="22"/>
      <c r="P272" s="22"/>
      <c r="Q272" s="23"/>
      <c r="R272" s="23"/>
      <c r="S272" s="22"/>
      <c r="T272" s="24"/>
      <c r="U272"/>
      <c r="V272"/>
      <c r="W272"/>
      <c r="X272"/>
      <c r="Y272"/>
      <c r="Z272" s="12"/>
      <c r="AA272" s="12"/>
      <c r="AB272" s="12"/>
      <c r="AC272" s="12"/>
      <c r="AD272" s="12"/>
      <c r="AE272" s="12"/>
      <c r="AF272" s="12"/>
      <c r="AG272" s="12"/>
      <c r="AH272" s="12"/>
      <c r="AI272" s="12"/>
    </row>
    <row r="273" spans="1:35" s="10" customFormat="1" x14ac:dyDescent="0.35">
      <c r="A273" s="12"/>
      <c r="B273" s="12"/>
      <c r="C273" s="12"/>
      <c r="D273"/>
      <c r="E273" s="24"/>
      <c r="F273" s="23"/>
      <c r="G273" s="23"/>
      <c r="H273" s="26"/>
      <c r="I273" s="22"/>
      <c r="J273" s="22"/>
      <c r="K273" s="22"/>
      <c r="L273" s="22"/>
      <c r="M273" s="24"/>
      <c r="N273" s="22"/>
      <c r="O273" s="22"/>
      <c r="P273" s="22"/>
      <c r="Q273" s="23"/>
      <c r="R273" s="23"/>
      <c r="S273" s="22"/>
      <c r="T273" s="24"/>
      <c r="U273"/>
      <c r="V273"/>
      <c r="W273"/>
      <c r="X273"/>
      <c r="Y273"/>
      <c r="Z273" s="12"/>
      <c r="AA273" s="12"/>
      <c r="AB273" s="12"/>
      <c r="AC273" s="12"/>
      <c r="AD273" s="12"/>
      <c r="AE273" s="12"/>
      <c r="AF273" s="12"/>
      <c r="AG273" s="12"/>
      <c r="AH273" s="12"/>
      <c r="AI273" s="12"/>
    </row>
    <row r="274" spans="1:35" s="10" customFormat="1" x14ac:dyDescent="0.35">
      <c r="A274" s="12"/>
      <c r="B274" s="12"/>
      <c r="C274" s="12"/>
      <c r="D274"/>
      <c r="E274" s="24"/>
      <c r="F274" s="23"/>
      <c r="G274" s="23"/>
      <c r="H274" s="26"/>
      <c r="I274" s="22"/>
      <c r="J274" s="22"/>
      <c r="K274" s="22"/>
      <c r="L274" s="22"/>
      <c r="M274" s="24"/>
      <c r="N274" s="22"/>
      <c r="O274" s="22"/>
      <c r="P274" s="22"/>
      <c r="Q274" s="23"/>
      <c r="R274" s="23"/>
      <c r="S274" s="22"/>
      <c r="T274" s="24"/>
      <c r="U274"/>
      <c r="V274"/>
      <c r="W274"/>
      <c r="X274"/>
      <c r="Y274"/>
      <c r="Z274" s="12"/>
      <c r="AA274" s="12"/>
      <c r="AB274" s="12"/>
      <c r="AC274" s="12"/>
      <c r="AD274" s="12"/>
      <c r="AE274" s="12"/>
      <c r="AF274" s="12"/>
      <c r="AG274" s="12"/>
      <c r="AH274" s="12"/>
      <c r="AI274" s="12"/>
    </row>
    <row r="275" spans="1:35" s="10" customFormat="1" x14ac:dyDescent="0.35">
      <c r="A275" s="12"/>
      <c r="B275" s="12"/>
      <c r="C275" s="12"/>
      <c r="D275"/>
      <c r="E275" s="24"/>
      <c r="F275" s="23"/>
      <c r="G275" s="23"/>
      <c r="H275" s="26"/>
      <c r="I275" s="22"/>
      <c r="J275" s="22"/>
      <c r="K275" s="22"/>
      <c r="L275" s="22"/>
      <c r="M275" s="24"/>
      <c r="N275" s="22"/>
      <c r="O275" s="22"/>
      <c r="P275" s="22"/>
      <c r="Q275" s="23"/>
      <c r="R275" s="23"/>
      <c r="S275" s="22"/>
      <c r="T275" s="24"/>
      <c r="U275"/>
      <c r="V275"/>
      <c r="W275"/>
      <c r="X275"/>
      <c r="Y275"/>
      <c r="Z275" s="12"/>
      <c r="AA275" s="12"/>
      <c r="AB275" s="12"/>
      <c r="AC275" s="12"/>
      <c r="AD275" s="12"/>
      <c r="AE275" s="12"/>
      <c r="AF275" s="12"/>
      <c r="AG275" s="12"/>
      <c r="AH275" s="12"/>
      <c r="AI275" s="12"/>
    </row>
    <row r="276" spans="1:35" s="10" customFormat="1" x14ac:dyDescent="0.35">
      <c r="A276" s="12"/>
      <c r="B276" s="12"/>
      <c r="C276" s="12"/>
      <c r="D276"/>
      <c r="E276" s="24"/>
      <c r="F276" s="23"/>
      <c r="G276" s="23"/>
      <c r="H276" s="26"/>
      <c r="I276" s="22"/>
      <c r="J276" s="22"/>
      <c r="K276" s="22"/>
      <c r="L276" s="22"/>
      <c r="M276" s="21"/>
      <c r="N276" s="22"/>
      <c r="O276" s="22"/>
      <c r="P276" s="22"/>
      <c r="Q276" s="22"/>
      <c r="R276" s="28"/>
      <c r="S276" s="22"/>
      <c r="T276" s="20"/>
      <c r="U276"/>
      <c r="V276"/>
      <c r="W276"/>
      <c r="X276"/>
      <c r="Y276"/>
      <c r="Z276" s="12"/>
      <c r="AA276" s="12"/>
      <c r="AB276" s="12"/>
      <c r="AC276" s="12"/>
      <c r="AD276" s="12"/>
      <c r="AE276" s="12"/>
      <c r="AF276" s="12"/>
      <c r="AG276" s="12"/>
      <c r="AH276" s="12"/>
      <c r="AI276" s="12"/>
    </row>
    <row r="277" spans="1:35" s="10" customFormat="1" x14ac:dyDescent="0.35">
      <c r="A277" s="12"/>
      <c r="B277" s="12"/>
      <c r="C277" s="12"/>
      <c r="D277"/>
      <c r="E277"/>
      <c r="F277"/>
      <c r="G277"/>
      <c r="H277"/>
      <c r="I277"/>
      <c r="J277"/>
      <c r="K277"/>
      <c r="L277"/>
      <c r="M277"/>
      <c r="N277"/>
      <c r="O277"/>
      <c r="P277"/>
      <c r="Q277"/>
      <c r="R277"/>
      <c r="S277"/>
      <c r="T277"/>
      <c r="U277"/>
      <c r="V277"/>
      <c r="W277"/>
      <c r="X277"/>
      <c r="Y277"/>
      <c r="Z277" s="12"/>
      <c r="AA277" s="12"/>
      <c r="AB277" s="12"/>
      <c r="AC277" s="12"/>
      <c r="AD277" s="12"/>
      <c r="AE277" s="12"/>
      <c r="AF277" s="12"/>
      <c r="AG277" s="12"/>
      <c r="AH277" s="12"/>
      <c r="AI277" s="12"/>
    </row>
    <row r="278" spans="1:35" s="10" customFormat="1" x14ac:dyDescent="0.35">
      <c r="A278" s="12"/>
      <c r="B278" s="12"/>
      <c r="C278" s="12"/>
      <c r="D278"/>
      <c r="E278"/>
      <c r="F278"/>
      <c r="G278"/>
      <c r="H278"/>
      <c r="I278"/>
      <c r="J278"/>
      <c r="K278"/>
      <c r="L278"/>
      <c r="M278"/>
      <c r="N278"/>
      <c r="O278"/>
      <c r="P278"/>
      <c r="Q278"/>
      <c r="R278"/>
      <c r="S278"/>
      <c r="T278"/>
      <c r="U278"/>
      <c r="V278"/>
      <c r="W278"/>
      <c r="X278"/>
      <c r="Y278" s="12"/>
      <c r="Z278" s="12"/>
      <c r="AA278" s="12"/>
      <c r="AB278" s="12"/>
      <c r="AC278" s="12"/>
      <c r="AD278" s="12"/>
      <c r="AE278" s="12"/>
      <c r="AF278" s="12"/>
      <c r="AG278" s="12"/>
      <c r="AH278" s="12"/>
      <c r="AI278" s="12"/>
    </row>
    <row r="279" spans="1:35" s="10" customFormat="1" x14ac:dyDescent="0.35">
      <c r="A279" s="12"/>
      <c r="B279" s="12"/>
      <c r="C279" s="12"/>
      <c r="D279"/>
      <c r="E279"/>
      <c r="F279"/>
      <c r="G279"/>
      <c r="H279"/>
      <c r="I279"/>
      <c r="J279"/>
      <c r="K279"/>
      <c r="L279"/>
      <c r="M279"/>
      <c r="N279"/>
      <c r="O279"/>
      <c r="P279"/>
      <c r="Q279"/>
      <c r="R279"/>
      <c r="S279"/>
      <c r="T279"/>
      <c r="U279"/>
      <c r="V279"/>
      <c r="W279"/>
      <c r="X279"/>
      <c r="Y279" s="12"/>
      <c r="Z279" s="12"/>
      <c r="AA279" s="12"/>
      <c r="AB279" s="12"/>
      <c r="AC279" s="12"/>
      <c r="AD279" s="12"/>
      <c r="AE279" s="12"/>
      <c r="AF279" s="12"/>
      <c r="AG279" s="12"/>
      <c r="AH279" s="12"/>
      <c r="AI279" s="12"/>
    </row>
    <row r="280" spans="1:35" s="10" customFormat="1" x14ac:dyDescent="0.35">
      <c r="A280" s="12"/>
      <c r="B280" s="12"/>
      <c r="C280" s="12"/>
      <c r="D280"/>
      <c r="E280"/>
      <c r="F280"/>
      <c r="G280"/>
      <c r="H280"/>
      <c r="I280"/>
      <c r="J280"/>
      <c r="K280"/>
      <c r="L280"/>
      <c r="M280"/>
      <c r="N280"/>
      <c r="O280"/>
      <c r="P280"/>
      <c r="Q280"/>
      <c r="R280"/>
      <c r="S280"/>
      <c r="T280"/>
      <c r="U280"/>
      <c r="V280"/>
      <c r="W280"/>
      <c r="X280"/>
      <c r="Y280" s="12"/>
      <c r="Z280" s="12"/>
      <c r="AA280" s="12"/>
      <c r="AB280" s="12"/>
      <c r="AC280" s="12"/>
      <c r="AD280" s="12"/>
      <c r="AE280" s="12"/>
      <c r="AF280" s="12"/>
      <c r="AG280" s="12"/>
      <c r="AH280" s="12"/>
      <c r="AI280" s="12"/>
    </row>
    <row r="281" spans="1:35" s="10" customFormat="1" x14ac:dyDescent="0.35">
      <c r="A281" s="12"/>
      <c r="B281" s="12"/>
      <c r="C281" s="12"/>
      <c r="D281"/>
      <c r="E281"/>
      <c r="F281"/>
      <c r="G281"/>
      <c r="H281"/>
      <c r="I281"/>
      <c r="J281"/>
      <c r="K281"/>
      <c r="L281"/>
      <c r="M281"/>
      <c r="N281"/>
      <c r="O281"/>
      <c r="P281"/>
      <c r="Q281"/>
      <c r="R281"/>
      <c r="S281"/>
      <c r="T281"/>
      <c r="U281"/>
      <c r="V281"/>
      <c r="W281"/>
      <c r="X281"/>
      <c r="Y281" s="12"/>
      <c r="Z281" s="12"/>
      <c r="AA281" s="12"/>
      <c r="AB281" s="12"/>
      <c r="AC281" s="12"/>
      <c r="AD281" s="12"/>
      <c r="AE281" s="12"/>
      <c r="AF281" s="12"/>
      <c r="AG281" s="12"/>
      <c r="AH281" s="12"/>
      <c r="AI281" s="12"/>
    </row>
    <row r="282" spans="1:35" s="10" customFormat="1" x14ac:dyDescent="0.35">
      <c r="A282" s="12"/>
      <c r="B282" s="12"/>
      <c r="C282" s="12"/>
      <c r="D282"/>
      <c r="E282"/>
      <c r="F282"/>
      <c r="G282"/>
      <c r="H282"/>
      <c r="I282"/>
      <c r="J282"/>
      <c r="K282"/>
      <c r="L282"/>
      <c r="M282"/>
      <c r="N282"/>
      <c r="O282"/>
      <c r="P282"/>
      <c r="Q282"/>
      <c r="R282"/>
      <c r="S282"/>
      <c r="T282"/>
      <c r="U282"/>
      <c r="V282"/>
      <c r="W282"/>
      <c r="X282"/>
      <c r="Y282" s="12"/>
      <c r="Z282" s="12"/>
      <c r="AA282" s="12"/>
      <c r="AB282" s="12"/>
      <c r="AC282" s="12"/>
      <c r="AD282" s="12"/>
      <c r="AE282" s="12"/>
      <c r="AF282" s="12"/>
      <c r="AG282" s="12"/>
      <c r="AH282" s="12"/>
      <c r="AI282" s="12"/>
    </row>
    <row r="283" spans="1:35" s="10" customFormat="1" x14ac:dyDescent="0.35">
      <c r="A283" s="12"/>
      <c r="B283" s="12"/>
      <c r="C283" s="12"/>
      <c r="D283"/>
      <c r="E283"/>
      <c r="F283"/>
      <c r="G283"/>
      <c r="H283"/>
      <c r="I283"/>
      <c r="J283"/>
      <c r="K283"/>
      <c r="L283"/>
      <c r="M283"/>
      <c r="N283"/>
      <c r="O283"/>
      <c r="P283"/>
      <c r="Q283"/>
      <c r="R283"/>
      <c r="S283"/>
      <c r="T283"/>
      <c r="U283"/>
      <c r="V283"/>
      <c r="W283"/>
      <c r="X283"/>
      <c r="Y283"/>
      <c r="Z283" s="12"/>
      <c r="AA283" s="12"/>
      <c r="AB283" s="12"/>
      <c r="AC283" s="12"/>
      <c r="AD283" s="12"/>
      <c r="AE283" s="12"/>
      <c r="AF283" s="12"/>
      <c r="AG283" s="12"/>
      <c r="AH283" s="12"/>
      <c r="AI283" s="12"/>
    </row>
    <row r="284" spans="1:35" s="10" customFormat="1" x14ac:dyDescent="0.35">
      <c r="A284" s="12"/>
      <c r="B284" s="12"/>
      <c r="C284" s="12"/>
      <c r="D284"/>
      <c r="E284"/>
      <c r="F284"/>
      <c r="G284"/>
      <c r="H284"/>
      <c r="I284"/>
      <c r="J284"/>
      <c r="K284"/>
      <c r="L284"/>
      <c r="M284"/>
      <c r="N284"/>
      <c r="O284"/>
      <c r="P284"/>
      <c r="Q284"/>
      <c r="R284"/>
      <c r="S284"/>
      <c r="T284"/>
      <c r="U284"/>
      <c r="V284"/>
      <c r="W284"/>
      <c r="X284"/>
      <c r="Y284"/>
      <c r="Z284" s="12"/>
      <c r="AA284" s="12"/>
      <c r="AB284" s="12"/>
      <c r="AC284" s="12"/>
      <c r="AD284" s="12"/>
      <c r="AE284" s="12"/>
      <c r="AF284" s="12"/>
      <c r="AG284" s="12"/>
      <c r="AH284" s="12"/>
      <c r="AI284" s="12"/>
    </row>
    <row r="285" spans="1:35" s="10" customFormat="1" x14ac:dyDescent="0.35">
      <c r="A285" s="12"/>
      <c r="B285" s="12"/>
      <c r="C285" s="12"/>
      <c r="D285"/>
      <c r="E285"/>
      <c r="F285"/>
      <c r="G285"/>
      <c r="H285"/>
      <c r="I285"/>
      <c r="J285"/>
      <c r="K285"/>
      <c r="L285"/>
      <c r="M285"/>
      <c r="N285"/>
      <c r="O285"/>
      <c r="P285"/>
      <c r="Q285"/>
      <c r="R285"/>
      <c r="S285"/>
      <c r="T285"/>
      <c r="U285"/>
      <c r="V285"/>
      <c r="W285"/>
      <c r="X285"/>
      <c r="Y285"/>
      <c r="Z285" s="12"/>
      <c r="AA285" s="12"/>
      <c r="AB285" s="12"/>
      <c r="AC285" s="12"/>
      <c r="AD285" s="12"/>
      <c r="AE285" s="12"/>
      <c r="AF285" s="12"/>
      <c r="AG285" s="12"/>
      <c r="AH285" s="12"/>
      <c r="AI285" s="12"/>
    </row>
    <row r="286" spans="1:35" s="10" customFormat="1" x14ac:dyDescent="0.35">
      <c r="A286" s="12"/>
      <c r="B286" s="12"/>
      <c r="C286" s="12"/>
      <c r="D286"/>
      <c r="E286"/>
      <c r="F286"/>
      <c r="G286"/>
      <c r="H286"/>
      <c r="I286"/>
      <c r="J286"/>
      <c r="K286"/>
      <c r="L286"/>
      <c r="M286"/>
      <c r="N286"/>
      <c r="O286"/>
      <c r="P286"/>
      <c r="Q286"/>
      <c r="R286"/>
      <c r="S286"/>
      <c r="T286"/>
      <c r="U286"/>
      <c r="V286"/>
      <c r="W286"/>
      <c r="X286"/>
      <c r="Y286"/>
      <c r="Z286" s="12"/>
      <c r="AA286" s="12"/>
      <c r="AB286" s="12"/>
      <c r="AC286" s="12"/>
      <c r="AD286" s="12"/>
      <c r="AE286" s="12"/>
      <c r="AF286" s="12"/>
      <c r="AG286" s="12"/>
      <c r="AH286" s="12"/>
      <c r="AI286" s="12"/>
    </row>
    <row r="287" spans="1:35" s="10" customFormat="1" x14ac:dyDescent="0.35">
      <c r="A287" s="12"/>
      <c r="B287" s="12"/>
      <c r="C287" s="12"/>
      <c r="D287"/>
      <c r="E287"/>
      <c r="F287"/>
      <c r="G287"/>
      <c r="H287"/>
      <c r="I287"/>
      <c r="J287"/>
      <c r="K287"/>
      <c r="L287"/>
      <c r="M287"/>
      <c r="N287"/>
      <c r="O287"/>
      <c r="P287"/>
      <c r="Q287"/>
      <c r="R287"/>
      <c r="S287"/>
      <c r="T287"/>
      <c r="U287"/>
      <c r="V287"/>
      <c r="W287"/>
      <c r="X287"/>
      <c r="Y287"/>
      <c r="Z287" s="12"/>
      <c r="AA287" s="12"/>
      <c r="AB287" s="12"/>
      <c r="AC287" s="12"/>
      <c r="AD287" s="12"/>
      <c r="AE287" s="12"/>
      <c r="AF287" s="12"/>
      <c r="AG287" s="12"/>
      <c r="AH287" s="12"/>
      <c r="AI287" s="12"/>
    </row>
    <row r="288" spans="1:35" s="10" customFormat="1" x14ac:dyDescent="0.35">
      <c r="A288" s="12"/>
      <c r="B288" s="12"/>
      <c r="C288" s="12"/>
      <c r="D288"/>
      <c r="E288"/>
      <c r="F288"/>
      <c r="G288"/>
      <c r="H288"/>
      <c r="I288"/>
      <c r="J288"/>
      <c r="K288"/>
      <c r="L288"/>
      <c r="M288"/>
      <c r="N288"/>
      <c r="O288"/>
      <c r="P288"/>
      <c r="Q288"/>
      <c r="R288"/>
      <c r="S288"/>
      <c r="T288"/>
      <c r="U288"/>
      <c r="V288"/>
      <c r="W288"/>
      <c r="X288"/>
      <c r="Y288"/>
      <c r="Z288" s="12"/>
      <c r="AA288" s="12"/>
      <c r="AB288" s="12"/>
      <c r="AC288" s="12"/>
      <c r="AD288" s="12"/>
      <c r="AE288" s="12"/>
      <c r="AF288" s="12"/>
      <c r="AG288" s="12"/>
      <c r="AH288" s="12"/>
      <c r="AI288" s="12"/>
    </row>
    <row r="289" spans="1:35" s="10" customFormat="1" x14ac:dyDescent="0.35">
      <c r="A289" s="12"/>
      <c r="B289" s="12"/>
      <c r="C289" s="12"/>
      <c r="D289"/>
      <c r="E289"/>
      <c r="F289"/>
      <c r="G289"/>
      <c r="H289"/>
      <c r="I289"/>
      <c r="J289"/>
      <c r="K289"/>
      <c r="L289"/>
      <c r="M289"/>
      <c r="N289"/>
      <c r="O289"/>
      <c r="P289"/>
      <c r="Q289"/>
      <c r="R289"/>
      <c r="S289"/>
      <c r="T289"/>
      <c r="U289"/>
      <c r="V289"/>
      <c r="W289"/>
      <c r="X289"/>
      <c r="Y289"/>
      <c r="Z289" s="12"/>
      <c r="AA289" s="12"/>
      <c r="AB289" s="12"/>
      <c r="AC289" s="12"/>
      <c r="AD289" s="12"/>
      <c r="AE289" s="12"/>
      <c r="AF289" s="12"/>
      <c r="AG289" s="12"/>
      <c r="AH289" s="12"/>
      <c r="AI289" s="12"/>
    </row>
    <row r="290" spans="1:35" s="10" customFormat="1" x14ac:dyDescent="0.35">
      <c r="A290" s="12"/>
      <c r="B290" s="12"/>
      <c r="C290" s="12"/>
      <c r="D290"/>
      <c r="E290"/>
      <c r="F290"/>
      <c r="G290"/>
      <c r="H290"/>
      <c r="I290"/>
      <c r="J290"/>
      <c r="K290"/>
      <c r="L290"/>
      <c r="M290"/>
      <c r="N290"/>
      <c r="O290"/>
      <c r="P290"/>
      <c r="Q290"/>
      <c r="R290"/>
      <c r="S290"/>
      <c r="T290"/>
      <c r="U290"/>
      <c r="V290"/>
      <c r="W290"/>
      <c r="X290"/>
      <c r="Y290"/>
      <c r="Z290" s="12"/>
      <c r="AA290" s="12"/>
      <c r="AB290" s="12"/>
      <c r="AC290" s="12"/>
      <c r="AD290" s="12"/>
      <c r="AE290" s="12"/>
      <c r="AF290" s="12"/>
      <c r="AG290" s="12"/>
      <c r="AH290" s="12"/>
      <c r="AI290" s="12"/>
    </row>
    <row r="291" spans="1:35" s="10" customFormat="1" x14ac:dyDescent="0.35">
      <c r="A291" s="12"/>
      <c r="B291" s="12"/>
      <c r="C291" s="12"/>
      <c r="D291"/>
      <c r="E291"/>
      <c r="F291"/>
      <c r="G291"/>
      <c r="H291"/>
      <c r="I291"/>
      <c r="J291"/>
      <c r="K291"/>
      <c r="L291"/>
      <c r="M291"/>
      <c r="N291"/>
      <c r="O291"/>
      <c r="P291"/>
      <c r="Q291"/>
      <c r="R291"/>
      <c r="S291"/>
      <c r="T291"/>
      <c r="U291"/>
      <c r="V291"/>
      <c r="W291"/>
      <c r="X291"/>
      <c r="Y291"/>
      <c r="Z291" s="12"/>
      <c r="AA291" s="12"/>
      <c r="AB291" s="12"/>
      <c r="AC291" s="12"/>
      <c r="AD291" s="12"/>
      <c r="AE291" s="12"/>
      <c r="AF291" s="12"/>
      <c r="AG291" s="12"/>
      <c r="AH291" s="12"/>
      <c r="AI291" s="12"/>
    </row>
    <row r="292" spans="1:35" s="10" customFormat="1" x14ac:dyDescent="0.35">
      <c r="A292" s="12"/>
      <c r="B292" s="12"/>
      <c r="C292" s="12"/>
      <c r="D292"/>
      <c r="E292"/>
      <c r="F292"/>
      <c r="G292"/>
      <c r="H292"/>
      <c r="I292"/>
      <c r="J292"/>
      <c r="K292"/>
      <c r="L292"/>
      <c r="M292"/>
      <c r="N292"/>
      <c r="O292"/>
      <c r="P292"/>
      <c r="Q292"/>
      <c r="R292"/>
      <c r="S292"/>
      <c r="T292"/>
      <c r="U292"/>
      <c r="V292"/>
      <c r="W292"/>
      <c r="X292"/>
      <c r="Y292"/>
      <c r="Z292" s="12"/>
      <c r="AA292" s="12"/>
      <c r="AB292" s="12"/>
      <c r="AC292" s="12"/>
      <c r="AD292" s="12"/>
      <c r="AE292" s="12"/>
      <c r="AF292" s="12"/>
      <c r="AG292" s="12"/>
      <c r="AH292" s="12"/>
      <c r="AI292" s="12"/>
    </row>
    <row r="293" spans="1:35" s="10" customFormat="1" x14ac:dyDescent="0.35">
      <c r="A293" s="12"/>
      <c r="B293" s="12"/>
      <c r="C293" s="12"/>
      <c r="D293"/>
      <c r="E293"/>
      <c r="F293"/>
      <c r="G293"/>
      <c r="H293"/>
      <c r="I293"/>
      <c r="J293"/>
      <c r="K293"/>
      <c r="L293"/>
      <c r="M293"/>
      <c r="N293"/>
      <c r="O293"/>
      <c r="P293"/>
      <c r="Q293"/>
      <c r="R293"/>
      <c r="S293"/>
      <c r="T293"/>
      <c r="U293"/>
      <c r="V293"/>
      <c r="W293"/>
      <c r="X293"/>
      <c r="Y293"/>
      <c r="Z293" s="12"/>
      <c r="AA293" s="12"/>
      <c r="AB293" s="12"/>
      <c r="AC293" s="12"/>
      <c r="AD293" s="12"/>
      <c r="AE293" s="12"/>
      <c r="AF293" s="12"/>
      <c r="AG293" s="12"/>
      <c r="AH293" s="12"/>
      <c r="AI293" s="12"/>
    </row>
    <row r="294" spans="1:35" s="10" customFormat="1" x14ac:dyDescent="0.35">
      <c r="A294" s="12"/>
      <c r="B294" s="12"/>
      <c r="C294" s="12"/>
      <c r="D294"/>
      <c r="E294"/>
      <c r="F294"/>
      <c r="G294"/>
      <c r="H294"/>
      <c r="I294"/>
      <c r="J294"/>
      <c r="K294"/>
      <c r="L294"/>
      <c r="M294"/>
      <c r="N294"/>
      <c r="O294"/>
      <c r="P294"/>
      <c r="Q294"/>
      <c r="R294"/>
      <c r="S294"/>
      <c r="T294"/>
      <c r="U294"/>
      <c r="V294"/>
      <c r="W294"/>
      <c r="X294"/>
      <c r="Y294"/>
      <c r="Z294" s="12"/>
      <c r="AA294" s="12"/>
      <c r="AB294" s="12"/>
      <c r="AC294" s="12"/>
      <c r="AD294" s="12"/>
      <c r="AE294" s="12"/>
      <c r="AF294" s="12"/>
      <c r="AG294" s="12"/>
      <c r="AH294" s="12"/>
      <c r="AI294" s="12"/>
    </row>
    <row r="295" spans="1:35" s="10" customFormat="1" x14ac:dyDescent="0.35">
      <c r="A295" s="12"/>
      <c r="B295" s="12"/>
      <c r="C295" s="12"/>
      <c r="D295"/>
      <c r="E295"/>
      <c r="F295"/>
      <c r="G295"/>
      <c r="H295"/>
      <c r="I295"/>
      <c r="J295"/>
      <c r="K295"/>
      <c r="L295"/>
      <c r="M295"/>
      <c r="N295"/>
      <c r="O295"/>
      <c r="P295"/>
      <c r="Q295"/>
      <c r="R295"/>
      <c r="S295"/>
      <c r="T295"/>
      <c r="U295"/>
      <c r="V295"/>
      <c r="W295"/>
      <c r="X295"/>
      <c r="Y295"/>
      <c r="Z295" s="12"/>
      <c r="AA295" s="12"/>
      <c r="AB295" s="12"/>
      <c r="AC295" s="12"/>
      <c r="AD295" s="12"/>
      <c r="AE295" s="12"/>
      <c r="AF295" s="12"/>
      <c r="AG295" s="12"/>
      <c r="AH295" s="12"/>
      <c r="AI295" s="12"/>
    </row>
    <row r="296" spans="1:35" s="10" customFormat="1" x14ac:dyDescent="0.35">
      <c r="A296" s="12"/>
      <c r="B296" s="12"/>
      <c r="C296" s="12"/>
      <c r="D296"/>
      <c r="E296"/>
      <c r="F296"/>
      <c r="G296"/>
      <c r="H296"/>
      <c r="I296"/>
      <c r="J296"/>
      <c r="K296"/>
      <c r="L296"/>
      <c r="M296"/>
      <c r="N296"/>
      <c r="O296"/>
      <c r="P296"/>
      <c r="Q296"/>
      <c r="R296"/>
      <c r="S296"/>
      <c r="T296"/>
      <c r="U296"/>
      <c r="V296"/>
      <c r="W296"/>
      <c r="X296"/>
      <c r="Y296"/>
      <c r="Z296" s="12"/>
      <c r="AA296" s="12"/>
      <c r="AB296" s="12"/>
      <c r="AC296" s="12"/>
      <c r="AD296" s="12"/>
      <c r="AE296" s="12"/>
      <c r="AF296" s="12"/>
      <c r="AG296" s="12"/>
      <c r="AH296" s="12"/>
      <c r="AI296" s="12"/>
    </row>
    <row r="297" spans="1:35" s="10" customFormat="1" x14ac:dyDescent="0.35">
      <c r="A297" s="12"/>
      <c r="B297" s="12"/>
      <c r="C297" s="12"/>
      <c r="D297"/>
      <c r="E297"/>
      <c r="F297"/>
      <c r="G297"/>
      <c r="H297"/>
      <c r="I297"/>
      <c r="J297"/>
      <c r="K297"/>
      <c r="L297"/>
      <c r="M297"/>
      <c r="N297"/>
      <c r="O297"/>
      <c r="P297"/>
      <c r="Q297"/>
      <c r="R297"/>
      <c r="S297"/>
      <c r="T297"/>
      <c r="U297"/>
      <c r="V297"/>
      <c r="W297"/>
      <c r="X297"/>
      <c r="Y297"/>
      <c r="Z297" s="12"/>
      <c r="AA297" s="12"/>
      <c r="AB297" s="12"/>
      <c r="AC297" s="12"/>
      <c r="AD297" s="12"/>
      <c r="AE297" s="12"/>
      <c r="AF297" s="12"/>
      <c r="AG297" s="12"/>
      <c r="AH297" s="12"/>
      <c r="AI297" s="12"/>
    </row>
    <row r="298" spans="1:35" s="10" customFormat="1" x14ac:dyDescent="0.35">
      <c r="A298" s="12"/>
      <c r="B298" s="12"/>
      <c r="C298" s="12"/>
      <c r="D298"/>
      <c r="E298"/>
      <c r="F298"/>
      <c r="G298"/>
      <c r="H298"/>
      <c r="I298"/>
      <c r="J298"/>
      <c r="K298"/>
      <c r="L298"/>
      <c r="M298"/>
      <c r="N298"/>
      <c r="O298"/>
      <c r="P298"/>
      <c r="Q298"/>
      <c r="R298"/>
      <c r="S298"/>
      <c r="T298"/>
      <c r="U298"/>
      <c r="V298"/>
      <c r="W298"/>
      <c r="X298"/>
      <c r="Y298"/>
      <c r="Z298" s="12"/>
      <c r="AA298" s="12"/>
      <c r="AB298" s="12"/>
      <c r="AC298" s="12"/>
      <c r="AD298" s="12"/>
      <c r="AE298" s="12"/>
      <c r="AF298" s="12"/>
      <c r="AG298" s="12"/>
      <c r="AH298" s="12"/>
      <c r="AI298" s="12"/>
    </row>
    <row r="299" spans="1:35" s="10" customFormat="1" x14ac:dyDescent="0.35">
      <c r="A299" s="12"/>
      <c r="B299" s="12"/>
      <c r="C299" s="12"/>
      <c r="D299"/>
      <c r="E299"/>
      <c r="F299"/>
      <c r="G299"/>
      <c r="H299"/>
      <c r="I299"/>
      <c r="J299"/>
      <c r="K299"/>
      <c r="L299"/>
      <c r="M299"/>
      <c r="N299"/>
      <c r="O299"/>
      <c r="P299"/>
      <c r="Q299"/>
      <c r="R299"/>
      <c r="S299"/>
      <c r="T299"/>
      <c r="U299"/>
      <c r="V299"/>
      <c r="W299"/>
      <c r="X299"/>
      <c r="Y299"/>
      <c r="Z299" s="12"/>
      <c r="AA299" s="12"/>
      <c r="AB299" s="12"/>
      <c r="AC299" s="12"/>
      <c r="AD299" s="12"/>
      <c r="AE299" s="12"/>
      <c r="AF299" s="12"/>
      <c r="AG299" s="12"/>
      <c r="AH299" s="12"/>
      <c r="AI299" s="12"/>
    </row>
    <row r="300" spans="1:35" s="10" customFormat="1" x14ac:dyDescent="0.35">
      <c r="A300" s="12"/>
      <c r="B300" s="12"/>
      <c r="C300" s="12"/>
      <c r="D300"/>
      <c r="E300"/>
      <c r="F300"/>
      <c r="G300"/>
      <c r="H300"/>
      <c r="I300"/>
      <c r="J300"/>
      <c r="K300"/>
      <c r="L300"/>
      <c r="M300"/>
      <c r="N300"/>
      <c r="O300"/>
      <c r="P300"/>
      <c r="Q300"/>
      <c r="R300"/>
      <c r="S300"/>
      <c r="T300"/>
      <c r="U300"/>
      <c r="V300"/>
      <c r="W300"/>
      <c r="X300"/>
      <c r="Y300"/>
      <c r="Z300" s="12"/>
      <c r="AA300" s="12"/>
      <c r="AB300" s="12"/>
      <c r="AC300" s="12"/>
      <c r="AD300" s="12"/>
      <c r="AE300" s="12"/>
      <c r="AF300" s="12"/>
      <c r="AG300" s="12"/>
      <c r="AH300" s="12"/>
      <c r="AI300" s="12"/>
    </row>
    <row r="301" spans="1:35" s="10" customFormat="1" x14ac:dyDescent="0.35">
      <c r="A301" s="12"/>
      <c r="B301" s="12"/>
      <c r="C301" s="12"/>
      <c r="D301"/>
      <c r="E301"/>
      <c r="F301"/>
      <c r="G301"/>
      <c r="H301"/>
      <c r="I301"/>
      <c r="J301"/>
      <c r="K301"/>
      <c r="L301"/>
      <c r="M301"/>
      <c r="N301"/>
      <c r="O301"/>
      <c r="P301"/>
      <c r="Q301"/>
      <c r="R301"/>
      <c r="S301"/>
      <c r="T301"/>
      <c r="U301"/>
      <c r="V301"/>
      <c r="W301"/>
      <c r="X301"/>
      <c r="Y301"/>
      <c r="Z301" s="12"/>
      <c r="AA301" s="12"/>
      <c r="AB301" s="12"/>
      <c r="AC301" s="12"/>
      <c r="AD301" s="12"/>
      <c r="AE301" s="12"/>
      <c r="AF301" s="12"/>
      <c r="AG301" s="12"/>
      <c r="AH301" s="12"/>
      <c r="AI301" s="12"/>
    </row>
    <row r="302" spans="1:35" s="10" customFormat="1" x14ac:dyDescent="0.35">
      <c r="A302" s="12"/>
      <c r="B302" s="12"/>
      <c r="C302" s="12"/>
      <c r="D302"/>
      <c r="E302"/>
      <c r="F302"/>
      <c r="G302"/>
      <c r="H302"/>
      <c r="I302"/>
      <c r="J302"/>
      <c r="K302"/>
      <c r="L302"/>
      <c r="M302"/>
      <c r="N302"/>
      <c r="O302"/>
      <c r="P302"/>
      <c r="Q302"/>
      <c r="R302"/>
      <c r="S302"/>
      <c r="T302"/>
      <c r="U302"/>
      <c r="V302"/>
      <c r="W302"/>
      <c r="X302"/>
      <c r="Y302"/>
      <c r="Z302" s="12"/>
      <c r="AA302" s="12"/>
      <c r="AB302" s="12"/>
      <c r="AC302" s="12"/>
      <c r="AD302" s="12"/>
      <c r="AE302" s="12"/>
      <c r="AF302" s="12"/>
      <c r="AG302" s="12"/>
      <c r="AH302" s="12"/>
      <c r="AI302" s="12"/>
    </row>
    <row r="303" spans="1:35" s="10" customFormat="1" x14ac:dyDescent="0.35">
      <c r="A303" s="12"/>
      <c r="B303" s="12"/>
      <c r="C303" s="12"/>
      <c r="D303"/>
      <c r="E303"/>
      <c r="F303"/>
      <c r="G303"/>
      <c r="H303"/>
      <c r="I303"/>
      <c r="J303"/>
      <c r="K303"/>
      <c r="L303"/>
      <c r="M303"/>
      <c r="N303"/>
      <c r="O303"/>
      <c r="P303"/>
      <c r="Q303"/>
      <c r="R303"/>
      <c r="S303"/>
      <c r="T303"/>
      <c r="U303"/>
      <c r="V303"/>
      <c r="W303"/>
      <c r="X303"/>
      <c r="Y303"/>
      <c r="Z303" s="12"/>
      <c r="AA303" s="12"/>
      <c r="AB303" s="12"/>
      <c r="AC303" s="12"/>
      <c r="AD303" s="12"/>
      <c r="AE303" s="12"/>
      <c r="AF303" s="12"/>
      <c r="AG303" s="12"/>
      <c r="AH303" s="12"/>
      <c r="AI303" s="12"/>
    </row>
    <row r="304" spans="1:35" s="10" customFormat="1" x14ac:dyDescent="0.35">
      <c r="A304" s="12"/>
      <c r="B304" s="12"/>
      <c r="C304" s="12"/>
      <c r="D304"/>
      <c r="E304"/>
      <c r="F304"/>
      <c r="G304"/>
      <c r="H304"/>
      <c r="I304"/>
      <c r="J304"/>
      <c r="K304"/>
      <c r="L304"/>
      <c r="M304"/>
      <c r="N304"/>
      <c r="O304"/>
      <c r="P304"/>
      <c r="Q304"/>
      <c r="R304"/>
      <c r="S304"/>
      <c r="T304"/>
      <c r="U304"/>
      <c r="V304"/>
      <c r="W304"/>
      <c r="X304"/>
      <c r="Y304"/>
      <c r="Z304" s="12"/>
      <c r="AA304" s="12"/>
      <c r="AB304" s="12"/>
      <c r="AC304" s="12"/>
      <c r="AD304" s="12"/>
      <c r="AE304" s="12"/>
      <c r="AF304" s="12"/>
      <c r="AG304" s="12"/>
      <c r="AH304" s="12"/>
      <c r="AI304" s="12"/>
    </row>
    <row r="305" spans="1:35" s="10" customFormat="1" x14ac:dyDescent="0.35">
      <c r="A305" s="12"/>
      <c r="B305" s="12"/>
      <c r="C305" s="12"/>
      <c r="D305"/>
      <c r="E305"/>
      <c r="F305"/>
      <c r="G305"/>
      <c r="H305"/>
      <c r="I305"/>
      <c r="J305"/>
      <c r="K305"/>
      <c r="L305"/>
      <c r="M305"/>
      <c r="N305"/>
      <c r="O305"/>
      <c r="P305"/>
      <c r="Q305"/>
      <c r="R305"/>
      <c r="S305"/>
      <c r="T305"/>
      <c r="U305"/>
      <c r="V305"/>
      <c r="W305"/>
      <c r="X305"/>
      <c r="Y305"/>
      <c r="Z305" s="12"/>
      <c r="AA305" s="12"/>
      <c r="AB305" s="12"/>
      <c r="AC305" s="12"/>
      <c r="AD305" s="12"/>
      <c r="AE305" s="12"/>
      <c r="AF305" s="12"/>
      <c r="AG305" s="12"/>
      <c r="AH305" s="12"/>
      <c r="AI305" s="12"/>
    </row>
    <row r="306" spans="1:35" s="10" customFormat="1" x14ac:dyDescent="0.35">
      <c r="A306" s="12"/>
      <c r="B306" s="12"/>
      <c r="C306" s="12"/>
      <c r="D306"/>
      <c r="E306"/>
      <c r="F306"/>
      <c r="G306"/>
      <c r="H306"/>
      <c r="I306"/>
      <c r="J306"/>
      <c r="K306"/>
      <c r="L306"/>
      <c r="M306"/>
      <c r="N306"/>
      <c r="O306"/>
      <c r="P306"/>
      <c r="Q306"/>
      <c r="R306"/>
      <c r="S306"/>
      <c r="T306"/>
      <c r="U306"/>
      <c r="V306"/>
      <c r="W306"/>
      <c r="X306"/>
      <c r="Y306"/>
      <c r="Z306" s="12"/>
      <c r="AA306" s="12"/>
      <c r="AB306" s="12"/>
      <c r="AC306" s="12"/>
      <c r="AD306" s="12"/>
      <c r="AE306" s="12"/>
      <c r="AF306" s="12"/>
      <c r="AG306" s="12"/>
      <c r="AH306" s="12"/>
      <c r="AI306" s="12"/>
    </row>
    <row r="307" spans="1:35" s="10" customFormat="1" x14ac:dyDescent="0.35">
      <c r="A307" s="12"/>
      <c r="B307" s="12"/>
      <c r="C307" s="12"/>
      <c r="D307"/>
      <c r="E307"/>
      <c r="F307"/>
      <c r="G307"/>
      <c r="H307"/>
      <c r="I307"/>
      <c r="J307"/>
      <c r="K307"/>
      <c r="L307"/>
      <c r="M307"/>
      <c r="N307"/>
      <c r="O307"/>
      <c r="P307"/>
      <c r="Q307"/>
      <c r="R307"/>
      <c r="S307"/>
      <c r="T307"/>
      <c r="U307"/>
      <c r="V307"/>
      <c r="W307"/>
      <c r="X307"/>
      <c r="Y307"/>
      <c r="Z307" s="12"/>
      <c r="AA307" s="12"/>
      <c r="AB307" s="12"/>
      <c r="AC307" s="12"/>
      <c r="AD307" s="12"/>
      <c r="AE307" s="12"/>
      <c r="AF307" s="12"/>
      <c r="AG307" s="12"/>
      <c r="AH307" s="12"/>
      <c r="AI307" s="12"/>
    </row>
    <row r="308" spans="1:35" s="10" customFormat="1" x14ac:dyDescent="0.35">
      <c r="A308" s="12"/>
      <c r="B308" s="12"/>
      <c r="C308" s="12"/>
      <c r="D308"/>
      <c r="E308"/>
      <c r="F308"/>
      <c r="G308"/>
      <c r="H308"/>
      <c r="I308"/>
      <c r="J308"/>
      <c r="K308"/>
      <c r="L308"/>
      <c r="M308"/>
      <c r="N308"/>
      <c r="O308"/>
      <c r="P308"/>
      <c r="Q308"/>
      <c r="R308"/>
      <c r="S308"/>
      <c r="T308"/>
      <c r="U308"/>
      <c r="V308"/>
      <c r="W308"/>
      <c r="X308"/>
      <c r="Y308"/>
      <c r="Z308" s="12"/>
      <c r="AA308" s="12"/>
      <c r="AB308" s="12"/>
      <c r="AC308" s="12"/>
      <c r="AD308" s="12"/>
      <c r="AE308" s="12"/>
      <c r="AF308" s="12"/>
      <c r="AG308" s="12"/>
      <c r="AH308" s="12"/>
      <c r="AI308" s="12"/>
    </row>
    <row r="309" spans="1:35" s="10" customFormat="1" x14ac:dyDescent="0.35">
      <c r="A309" s="12"/>
      <c r="B309" s="12"/>
      <c r="C309" s="12"/>
      <c r="D309"/>
      <c r="E309"/>
      <c r="F309"/>
      <c r="G309"/>
      <c r="H309"/>
      <c r="I309"/>
      <c r="J309"/>
      <c r="K309"/>
      <c r="L309"/>
      <c r="M309"/>
      <c r="N309"/>
      <c r="O309"/>
      <c r="P309"/>
      <c r="Q309"/>
      <c r="R309"/>
      <c r="S309"/>
      <c r="T309"/>
      <c r="U309"/>
      <c r="V309"/>
      <c r="W309"/>
      <c r="X309"/>
      <c r="Y309"/>
      <c r="Z309" s="12"/>
      <c r="AA309" s="12"/>
      <c r="AB309" s="12"/>
      <c r="AC309" s="12"/>
      <c r="AD309" s="12"/>
      <c r="AE309" s="12"/>
      <c r="AF309" s="12"/>
      <c r="AG309" s="12"/>
      <c r="AH309" s="12"/>
      <c r="AI309" s="12"/>
    </row>
    <row r="310" spans="1:35" s="10" customFormat="1" x14ac:dyDescent="0.35">
      <c r="A310" s="12"/>
      <c r="B310" s="12"/>
      <c r="C310" s="12"/>
      <c r="D310"/>
      <c r="E310"/>
      <c r="F310"/>
      <c r="G310"/>
      <c r="H310"/>
      <c r="I310"/>
      <c r="J310"/>
      <c r="K310"/>
      <c r="L310"/>
      <c r="M310"/>
      <c r="N310"/>
      <c r="O310"/>
      <c r="P310"/>
      <c r="Q310"/>
      <c r="R310"/>
      <c r="S310"/>
      <c r="T310"/>
      <c r="U310"/>
      <c r="V310"/>
      <c r="W310"/>
      <c r="X310"/>
      <c r="Y310"/>
      <c r="Z310" s="12"/>
      <c r="AA310" s="12"/>
      <c r="AB310" s="12"/>
      <c r="AC310" s="12"/>
      <c r="AD310" s="12"/>
      <c r="AE310" s="12"/>
      <c r="AF310" s="12"/>
      <c r="AG310" s="12"/>
      <c r="AH310" s="12"/>
      <c r="AI310" s="12"/>
    </row>
    <row r="311" spans="1:35" s="10" customFormat="1" x14ac:dyDescent="0.35">
      <c r="A311" s="12"/>
      <c r="B311" s="12"/>
      <c r="C311" s="12"/>
      <c r="D311"/>
      <c r="E311"/>
      <c r="F311"/>
      <c r="G311"/>
      <c r="H311"/>
      <c r="I311"/>
      <c r="J311"/>
      <c r="K311"/>
      <c r="L311"/>
      <c r="M311"/>
      <c r="N311"/>
      <c r="O311"/>
      <c r="P311"/>
      <c r="Q311"/>
      <c r="R311"/>
      <c r="S311"/>
      <c r="T311"/>
      <c r="U311"/>
      <c r="V311"/>
      <c r="W311"/>
      <c r="X311"/>
      <c r="Y311"/>
      <c r="Z311" s="12"/>
      <c r="AA311" s="12"/>
      <c r="AB311" s="12"/>
      <c r="AC311" s="12"/>
      <c r="AD311" s="12"/>
      <c r="AE311" s="12"/>
      <c r="AF311" s="12"/>
      <c r="AG311" s="12"/>
      <c r="AH311" s="12"/>
      <c r="AI311" s="12"/>
    </row>
    <row r="312" spans="1:35" s="10" customFormat="1" x14ac:dyDescent="0.35">
      <c r="A312" s="12"/>
      <c r="B312" s="12"/>
      <c r="C312" s="12"/>
      <c r="D312"/>
      <c r="E312"/>
      <c r="F312"/>
      <c r="G312"/>
      <c r="H312"/>
      <c r="I312"/>
      <c r="J312"/>
      <c r="K312"/>
      <c r="L312"/>
      <c r="M312"/>
      <c r="N312"/>
      <c r="O312"/>
      <c r="P312"/>
      <c r="Q312"/>
      <c r="R312"/>
      <c r="S312"/>
      <c r="T312"/>
      <c r="U312"/>
      <c r="V312"/>
      <c r="W312"/>
      <c r="X312"/>
      <c r="Y312"/>
      <c r="Z312" s="12"/>
      <c r="AA312" s="12"/>
      <c r="AB312" s="12"/>
      <c r="AC312" s="12"/>
      <c r="AD312" s="12"/>
      <c r="AE312" s="12"/>
      <c r="AF312" s="12"/>
      <c r="AG312" s="12"/>
      <c r="AH312" s="12"/>
      <c r="AI312" s="12"/>
    </row>
    <row r="313" spans="1:35" s="10" customFormat="1" x14ac:dyDescent="0.35">
      <c r="A313" s="12"/>
      <c r="B313" s="12"/>
      <c r="C313" s="12"/>
      <c r="D313"/>
      <c r="E313"/>
      <c r="F313"/>
      <c r="G313"/>
      <c r="H313"/>
      <c r="I313"/>
      <c r="J313"/>
      <c r="K313"/>
      <c r="L313"/>
      <c r="M313"/>
      <c r="N313"/>
      <c r="O313"/>
      <c r="P313"/>
      <c r="Q313"/>
      <c r="R313"/>
      <c r="S313"/>
      <c r="T313"/>
      <c r="U313"/>
      <c r="V313"/>
      <c r="W313"/>
      <c r="X313"/>
      <c r="Y313"/>
      <c r="Z313" s="12"/>
      <c r="AA313" s="12"/>
      <c r="AB313" s="12"/>
      <c r="AC313" s="12"/>
      <c r="AD313" s="12"/>
      <c r="AE313" s="12"/>
      <c r="AF313" s="12"/>
      <c r="AG313" s="12"/>
      <c r="AH313" s="12"/>
      <c r="AI313" s="12"/>
    </row>
    <row r="314" spans="1:35" s="10" customFormat="1" x14ac:dyDescent="0.35">
      <c r="A314" s="12"/>
      <c r="B314" s="12"/>
      <c r="C314" s="12"/>
      <c r="D314"/>
      <c r="E314"/>
      <c r="F314"/>
      <c r="G314"/>
      <c r="H314"/>
      <c r="I314"/>
      <c r="J314"/>
      <c r="K314"/>
      <c r="L314"/>
      <c r="M314"/>
      <c r="N314"/>
      <c r="O314"/>
      <c r="P314"/>
      <c r="Q314"/>
      <c r="R314"/>
      <c r="S314"/>
      <c r="T314"/>
      <c r="U314"/>
      <c r="V314"/>
      <c r="W314"/>
      <c r="X314"/>
      <c r="Y314"/>
      <c r="Z314" s="12"/>
      <c r="AA314" s="12"/>
      <c r="AB314" s="12"/>
      <c r="AC314" s="12"/>
      <c r="AD314" s="12"/>
      <c r="AE314" s="12"/>
      <c r="AF314" s="12"/>
      <c r="AG314" s="12"/>
      <c r="AH314" s="12"/>
      <c r="AI314" s="12"/>
    </row>
    <row r="315" spans="1:35" s="10" customFormat="1" x14ac:dyDescent="0.35">
      <c r="A315" s="12"/>
      <c r="B315" s="12"/>
      <c r="C315" s="12"/>
      <c r="D315"/>
      <c r="E315"/>
      <c r="F315"/>
      <c r="G315"/>
      <c r="H315"/>
      <c r="I315"/>
      <c r="J315"/>
      <c r="K315"/>
      <c r="L315"/>
      <c r="M315"/>
      <c r="N315"/>
      <c r="O315"/>
      <c r="P315"/>
      <c r="Q315"/>
      <c r="R315"/>
      <c r="S315"/>
      <c r="T315"/>
      <c r="U315"/>
      <c r="V315"/>
      <c r="W315"/>
      <c r="X315"/>
      <c r="Y315"/>
      <c r="Z315" s="12"/>
      <c r="AA315" s="12"/>
      <c r="AB315" s="12"/>
      <c r="AC315" s="12"/>
      <c r="AD315" s="12"/>
      <c r="AE315" s="12"/>
      <c r="AF315" s="12"/>
      <c r="AG315" s="12"/>
      <c r="AH315" s="12"/>
      <c r="AI315" s="12"/>
    </row>
    <row r="316" spans="1:35" s="10" customFormat="1" x14ac:dyDescent="0.35">
      <c r="A316" s="12"/>
      <c r="B316" s="12"/>
      <c r="C316" s="12"/>
      <c r="D316"/>
      <c r="E316"/>
      <c r="F316"/>
      <c r="G316"/>
      <c r="H316"/>
      <c r="I316"/>
      <c r="J316"/>
      <c r="K316"/>
      <c r="L316"/>
      <c r="M316"/>
      <c r="N316"/>
      <c r="O316"/>
      <c r="P316"/>
      <c r="Q316"/>
      <c r="R316"/>
      <c r="S316"/>
      <c r="T316"/>
      <c r="U316"/>
      <c r="V316"/>
      <c r="W316"/>
      <c r="X316"/>
      <c r="Y316"/>
      <c r="Z316" s="12"/>
      <c r="AA316" s="12"/>
      <c r="AB316" s="12"/>
      <c r="AC316" s="12"/>
      <c r="AD316" s="12"/>
      <c r="AE316" s="12"/>
      <c r="AF316" s="12"/>
      <c r="AG316" s="12"/>
      <c r="AH316" s="12"/>
      <c r="AI316" s="12"/>
    </row>
    <row r="317" spans="1:35" s="10" customFormat="1" x14ac:dyDescent="0.35">
      <c r="A317" s="12"/>
      <c r="B317" s="12"/>
      <c r="C317" s="12"/>
      <c r="D317"/>
      <c r="E317"/>
      <c r="F317"/>
      <c r="G317"/>
      <c r="H317"/>
      <c r="I317"/>
      <c r="J317"/>
      <c r="K317"/>
      <c r="L317"/>
      <c r="M317"/>
      <c r="N317"/>
      <c r="O317"/>
      <c r="P317"/>
      <c r="Q317"/>
      <c r="R317"/>
      <c r="S317"/>
      <c r="T317"/>
      <c r="U317"/>
      <c r="V317"/>
      <c r="W317"/>
      <c r="X317"/>
      <c r="Y317"/>
      <c r="Z317" s="12"/>
      <c r="AA317" s="12"/>
      <c r="AB317" s="12"/>
      <c r="AC317" s="12"/>
      <c r="AD317" s="12"/>
      <c r="AE317" s="12"/>
      <c r="AF317" s="12"/>
      <c r="AG317" s="12"/>
      <c r="AH317" s="12"/>
      <c r="AI317" s="12"/>
    </row>
    <row r="318" spans="1:35" s="10" customFormat="1" x14ac:dyDescent="0.35">
      <c r="A318" s="12"/>
      <c r="B318" s="12"/>
      <c r="C318" s="12"/>
      <c r="D318"/>
      <c r="E318"/>
      <c r="F318"/>
      <c r="G318"/>
      <c r="H318"/>
      <c r="I318"/>
      <c r="J318"/>
      <c r="K318"/>
      <c r="L318"/>
      <c r="M318"/>
      <c r="N318"/>
      <c r="O318"/>
      <c r="P318"/>
      <c r="Q318"/>
      <c r="R318"/>
      <c r="S318"/>
      <c r="T318"/>
      <c r="U318"/>
      <c r="V318"/>
      <c r="W318"/>
      <c r="X318"/>
      <c r="Y318"/>
      <c r="Z318" s="12"/>
      <c r="AA318" s="12"/>
      <c r="AB318" s="12"/>
      <c r="AC318" s="12"/>
      <c r="AD318" s="12"/>
      <c r="AE318" s="12"/>
      <c r="AF318" s="12"/>
      <c r="AG318" s="12"/>
      <c r="AH318" s="12"/>
      <c r="AI318" s="12"/>
    </row>
    <row r="319" spans="1:35" s="10" customFormat="1" x14ac:dyDescent="0.35">
      <c r="A319" s="12"/>
      <c r="B319" s="12"/>
      <c r="C319" s="12"/>
      <c r="D319"/>
      <c r="E319"/>
      <c r="F319"/>
      <c r="G319"/>
      <c r="H319"/>
      <c r="I319"/>
      <c r="J319"/>
      <c r="K319"/>
      <c r="L319"/>
      <c r="M319"/>
      <c r="N319"/>
      <c r="O319"/>
      <c r="P319"/>
      <c r="Q319"/>
      <c r="R319"/>
      <c r="S319"/>
      <c r="T319"/>
      <c r="U319"/>
      <c r="V319"/>
      <c r="W319"/>
      <c r="X319"/>
      <c r="Y319"/>
      <c r="Z319" s="12"/>
      <c r="AA319" s="12"/>
      <c r="AB319" s="12"/>
      <c r="AC319" s="12"/>
      <c r="AD319" s="12"/>
      <c r="AE319" s="12"/>
      <c r="AF319" s="12"/>
      <c r="AG319" s="12"/>
      <c r="AH319" s="12"/>
      <c r="AI319" s="12"/>
    </row>
    <row r="320" spans="1:35" s="10" customFormat="1" x14ac:dyDescent="0.35">
      <c r="A320" s="12"/>
      <c r="B320" s="12"/>
      <c r="C320" s="12"/>
      <c r="D320"/>
      <c r="E320"/>
      <c r="F320"/>
      <c r="G320"/>
      <c r="H320"/>
      <c r="I320"/>
      <c r="J320"/>
      <c r="K320"/>
      <c r="L320"/>
      <c r="M320"/>
      <c r="N320"/>
      <c r="O320"/>
      <c r="P320"/>
      <c r="Q320"/>
      <c r="R320"/>
      <c r="S320"/>
      <c r="T320"/>
      <c r="U320"/>
      <c r="V320"/>
      <c r="W320"/>
      <c r="X320"/>
      <c r="Y320"/>
      <c r="Z320" s="12"/>
      <c r="AA320" s="12"/>
      <c r="AB320" s="12"/>
      <c r="AC320" s="12"/>
      <c r="AD320" s="12"/>
      <c r="AE320" s="12"/>
      <c r="AF320" s="12"/>
      <c r="AG320" s="12"/>
      <c r="AH320" s="12"/>
      <c r="AI320" s="12"/>
    </row>
    <row r="321" spans="1:35" s="10" customFormat="1" x14ac:dyDescent="0.35">
      <c r="A321" s="12"/>
      <c r="B321" s="12"/>
      <c r="C321" s="12"/>
      <c r="D321"/>
      <c r="E321"/>
      <c r="F321"/>
      <c r="G321"/>
      <c r="H321"/>
      <c r="I321"/>
      <c r="J321"/>
      <c r="K321"/>
      <c r="L321"/>
      <c r="M321"/>
      <c r="N321"/>
      <c r="O321"/>
      <c r="P321"/>
      <c r="Q321"/>
      <c r="R321"/>
      <c r="S321"/>
      <c r="T321"/>
      <c r="U321"/>
      <c r="V321"/>
      <c r="W321"/>
      <c r="X321"/>
      <c r="Y321"/>
      <c r="Z321" s="12"/>
      <c r="AA321" s="12"/>
      <c r="AB321" s="12"/>
      <c r="AC321" s="12"/>
      <c r="AD321" s="12"/>
      <c r="AE321" s="12"/>
      <c r="AF321" s="12"/>
      <c r="AG321" s="12"/>
      <c r="AH321" s="12"/>
      <c r="AI321" s="12"/>
    </row>
    <row r="322" spans="1:35" s="10" customFormat="1" x14ac:dyDescent="0.35">
      <c r="A322" s="12"/>
      <c r="B322" s="12"/>
      <c r="C322" s="12"/>
      <c r="D322"/>
      <c r="E322"/>
      <c r="F322"/>
      <c r="G322"/>
      <c r="H322"/>
      <c r="I322"/>
      <c r="J322"/>
      <c r="K322"/>
      <c r="L322"/>
      <c r="M322"/>
      <c r="N322"/>
      <c r="O322"/>
      <c r="P322"/>
      <c r="Q322"/>
      <c r="R322"/>
      <c r="S322"/>
      <c r="T322"/>
      <c r="U322"/>
      <c r="V322"/>
      <c r="W322"/>
      <c r="X322"/>
      <c r="Y322"/>
      <c r="Z322" s="12"/>
      <c r="AA322" s="12"/>
      <c r="AB322" s="12"/>
      <c r="AC322" s="12"/>
      <c r="AD322" s="12"/>
      <c r="AE322" s="12"/>
      <c r="AF322" s="12"/>
      <c r="AG322" s="12"/>
      <c r="AH322" s="12"/>
      <c r="AI322" s="12"/>
    </row>
    <row r="323" spans="1:35" s="10" customFormat="1" x14ac:dyDescent="0.35">
      <c r="A323" s="12"/>
      <c r="B323" s="12"/>
      <c r="C323" s="12"/>
      <c r="D323"/>
      <c r="E323"/>
      <c r="F323"/>
      <c r="G323"/>
      <c r="H323"/>
      <c r="I323"/>
      <c r="J323"/>
      <c r="K323"/>
      <c r="L323"/>
      <c r="M323"/>
      <c r="N323"/>
      <c r="O323"/>
      <c r="P323"/>
      <c r="Q323"/>
      <c r="R323"/>
      <c r="S323"/>
      <c r="T323"/>
      <c r="U323"/>
      <c r="V323"/>
      <c r="W323"/>
      <c r="X323"/>
      <c r="Y323"/>
      <c r="Z323" s="12"/>
      <c r="AA323" s="12"/>
      <c r="AB323" s="12"/>
      <c r="AC323" s="12"/>
      <c r="AD323" s="12"/>
      <c r="AE323" s="12"/>
      <c r="AF323" s="12"/>
      <c r="AG323" s="12"/>
      <c r="AH323" s="12"/>
      <c r="AI323" s="12"/>
    </row>
    <row r="324" spans="1:35" s="10" customFormat="1" x14ac:dyDescent="0.35">
      <c r="A324" s="12"/>
      <c r="B324" s="12"/>
      <c r="C324" s="12"/>
      <c r="D324"/>
      <c r="E324"/>
      <c r="F324"/>
      <c r="G324"/>
      <c r="H324"/>
      <c r="I324"/>
      <c r="J324"/>
      <c r="K324"/>
      <c r="L324"/>
      <c r="M324"/>
      <c r="N324"/>
      <c r="O324"/>
      <c r="P324"/>
      <c r="Q324"/>
      <c r="R324"/>
      <c r="S324"/>
      <c r="T324"/>
      <c r="U324"/>
      <c r="V324"/>
      <c r="W324"/>
      <c r="X324"/>
      <c r="Y324"/>
      <c r="Z324" s="12"/>
      <c r="AA324" s="12"/>
      <c r="AB324" s="12"/>
      <c r="AC324" s="12"/>
      <c r="AD324" s="12"/>
      <c r="AE324" s="12"/>
      <c r="AF324" s="12"/>
      <c r="AG324" s="12"/>
      <c r="AH324" s="12"/>
      <c r="AI324" s="12"/>
    </row>
    <row r="325" spans="1:35" s="10" customFormat="1" x14ac:dyDescent="0.35">
      <c r="A325" s="12"/>
      <c r="B325" s="12"/>
      <c r="C325" s="12"/>
      <c r="D325"/>
      <c r="E325"/>
      <c r="F325"/>
      <c r="G325"/>
      <c r="H325"/>
      <c r="I325"/>
      <c r="J325"/>
      <c r="K325"/>
      <c r="L325"/>
      <c r="M325"/>
      <c r="N325"/>
      <c r="O325"/>
      <c r="P325"/>
      <c r="Q325"/>
      <c r="R325"/>
      <c r="S325"/>
      <c r="T325"/>
      <c r="U325"/>
      <c r="V325"/>
      <c r="W325"/>
      <c r="X325"/>
      <c r="Y325"/>
      <c r="Z325" s="12"/>
      <c r="AA325" s="12"/>
      <c r="AB325" s="12"/>
      <c r="AC325" s="12"/>
      <c r="AD325" s="12"/>
      <c r="AE325" s="12"/>
      <c r="AF325" s="12"/>
      <c r="AG325" s="12"/>
      <c r="AH325" s="12"/>
      <c r="AI325" s="12"/>
    </row>
    <row r="326" spans="1:35" s="10" customFormat="1" x14ac:dyDescent="0.35">
      <c r="A326" s="12"/>
      <c r="B326" s="12"/>
      <c r="C326" s="12"/>
      <c r="D326"/>
      <c r="E326"/>
      <c r="F326"/>
      <c r="G326"/>
      <c r="H326"/>
      <c r="I326"/>
      <c r="J326"/>
      <c r="K326"/>
      <c r="L326"/>
      <c r="M326"/>
      <c r="N326"/>
      <c r="O326"/>
      <c r="P326"/>
      <c r="Q326"/>
      <c r="R326"/>
      <c r="S326"/>
      <c r="T326"/>
      <c r="U326"/>
      <c r="V326"/>
      <c r="W326"/>
      <c r="X326"/>
      <c r="Y326"/>
      <c r="Z326" s="12"/>
      <c r="AA326" s="12"/>
      <c r="AB326" s="12"/>
      <c r="AC326" s="12"/>
      <c r="AD326" s="12"/>
      <c r="AE326" s="12"/>
      <c r="AF326" s="12"/>
      <c r="AG326" s="12"/>
      <c r="AH326" s="12"/>
      <c r="AI326" s="12"/>
    </row>
    <row r="327" spans="1:35" s="10" customFormat="1" x14ac:dyDescent="0.35">
      <c r="A327" s="12"/>
      <c r="B327" s="12"/>
      <c r="C327" s="12"/>
      <c r="D327"/>
      <c r="E327"/>
      <c r="F327"/>
      <c r="G327"/>
      <c r="H327"/>
      <c r="I327"/>
      <c r="J327"/>
      <c r="K327"/>
      <c r="L327"/>
      <c r="M327"/>
      <c r="N327"/>
      <c r="O327"/>
      <c r="P327"/>
      <c r="Q327"/>
      <c r="R327"/>
      <c r="S327"/>
      <c r="T327"/>
      <c r="U327"/>
      <c r="V327"/>
      <c r="W327"/>
      <c r="X327"/>
      <c r="Y327"/>
      <c r="Z327" s="12"/>
      <c r="AA327" s="12"/>
      <c r="AB327" s="12"/>
      <c r="AC327" s="12"/>
      <c r="AD327" s="12"/>
      <c r="AE327" s="12"/>
      <c r="AF327" s="12"/>
      <c r="AG327" s="12"/>
      <c r="AH327" s="12"/>
      <c r="AI327" s="12"/>
    </row>
    <row r="328" spans="1:35" s="10" customFormat="1" x14ac:dyDescent="0.35">
      <c r="A328" s="12"/>
      <c r="B328" s="12"/>
      <c r="C328" s="12"/>
      <c r="D328"/>
      <c r="E328"/>
      <c r="F328"/>
      <c r="G328"/>
      <c r="H328"/>
      <c r="I328"/>
      <c r="J328"/>
      <c r="K328"/>
      <c r="L328"/>
      <c r="M328"/>
      <c r="N328"/>
      <c r="O328"/>
      <c r="P328"/>
      <c r="Q328"/>
      <c r="R328"/>
      <c r="S328"/>
      <c r="T328"/>
      <c r="U328"/>
      <c r="V328"/>
      <c r="W328"/>
      <c r="X328"/>
      <c r="Y328"/>
      <c r="Z328" s="12"/>
      <c r="AA328" s="12"/>
      <c r="AB328" s="12"/>
      <c r="AC328" s="12"/>
      <c r="AD328" s="12"/>
      <c r="AE328" s="12"/>
      <c r="AF328" s="12"/>
      <c r="AG328" s="12"/>
      <c r="AH328" s="12"/>
      <c r="AI328" s="12"/>
    </row>
    <row r="329" spans="1:35" s="10" customFormat="1" x14ac:dyDescent="0.35">
      <c r="A329" s="12"/>
      <c r="B329" s="12"/>
      <c r="C329" s="12"/>
      <c r="D329"/>
      <c r="E329"/>
      <c r="F329"/>
      <c r="G329"/>
      <c r="H329"/>
      <c r="I329"/>
      <c r="J329"/>
      <c r="K329"/>
      <c r="L329"/>
      <c r="M329"/>
      <c r="N329"/>
      <c r="O329"/>
      <c r="P329"/>
      <c r="Q329"/>
      <c r="R329"/>
      <c r="S329"/>
      <c r="T329"/>
      <c r="U329"/>
      <c r="V329"/>
      <c r="W329"/>
      <c r="X329"/>
      <c r="Y329"/>
      <c r="Z329" s="12"/>
      <c r="AA329" s="12"/>
      <c r="AB329" s="12"/>
      <c r="AC329" s="12"/>
      <c r="AD329" s="12"/>
      <c r="AE329" s="12"/>
      <c r="AF329" s="12"/>
      <c r="AG329" s="12"/>
      <c r="AH329" s="12"/>
      <c r="AI329" s="12"/>
    </row>
    <row r="330" spans="1:35" s="10" customFormat="1" x14ac:dyDescent="0.35">
      <c r="A330" s="12"/>
      <c r="B330" s="12"/>
      <c r="C330" s="12"/>
      <c r="D330"/>
      <c r="E330"/>
      <c r="F330"/>
      <c r="G330"/>
      <c r="H330"/>
      <c r="I330"/>
      <c r="J330"/>
      <c r="K330"/>
      <c r="L330"/>
      <c r="M330"/>
      <c r="N330"/>
      <c r="O330"/>
      <c r="P330"/>
      <c r="Q330"/>
      <c r="R330"/>
      <c r="S330"/>
      <c r="T330"/>
      <c r="U330"/>
      <c r="V330"/>
      <c r="W330"/>
      <c r="X330"/>
      <c r="Y330"/>
      <c r="Z330" s="12"/>
      <c r="AA330" s="12"/>
      <c r="AB330" s="12"/>
      <c r="AC330" s="12"/>
      <c r="AD330" s="12"/>
      <c r="AE330" s="12"/>
      <c r="AF330" s="12"/>
      <c r="AG330" s="12"/>
      <c r="AH330" s="12"/>
      <c r="AI330" s="12"/>
    </row>
    <row r="331" spans="1:35" s="10" customFormat="1" x14ac:dyDescent="0.35">
      <c r="A331" s="12"/>
      <c r="B331" s="12"/>
      <c r="C331" s="12"/>
      <c r="D331"/>
      <c r="E331"/>
      <c r="F331"/>
      <c r="G331"/>
      <c r="H331"/>
      <c r="I331"/>
      <c r="J331"/>
      <c r="K331"/>
      <c r="L331"/>
      <c r="M331"/>
      <c r="N331"/>
      <c r="O331"/>
      <c r="P331"/>
      <c r="Q331"/>
      <c r="R331"/>
      <c r="S331"/>
      <c r="T331"/>
      <c r="U331"/>
      <c r="V331"/>
      <c r="W331"/>
      <c r="X331"/>
      <c r="Y331"/>
      <c r="Z331" s="12"/>
      <c r="AA331" s="12"/>
      <c r="AB331" s="12"/>
      <c r="AC331" s="12"/>
      <c r="AD331" s="12"/>
      <c r="AE331" s="12"/>
      <c r="AF331" s="12"/>
      <c r="AG331" s="12"/>
      <c r="AH331" s="12"/>
      <c r="AI331" s="12"/>
    </row>
    <row r="332" spans="1:35" s="10" customFormat="1" x14ac:dyDescent="0.35">
      <c r="A332" s="12"/>
      <c r="B332" s="12"/>
      <c r="C332" s="12"/>
      <c r="D332"/>
      <c r="E332"/>
      <c r="F332"/>
      <c r="G332"/>
      <c r="H332"/>
      <c r="I332"/>
      <c r="J332"/>
      <c r="K332"/>
      <c r="L332"/>
      <c r="M332"/>
      <c r="N332"/>
      <c r="O332"/>
      <c r="P332"/>
      <c r="Q332"/>
      <c r="R332"/>
      <c r="S332"/>
      <c r="T332"/>
      <c r="U332"/>
      <c r="V332"/>
      <c r="W332"/>
      <c r="X332"/>
      <c r="Y332"/>
      <c r="Z332" s="12"/>
      <c r="AA332" s="12"/>
      <c r="AB332" s="12"/>
      <c r="AC332" s="12"/>
      <c r="AD332" s="12"/>
      <c r="AE332" s="12"/>
      <c r="AF332" s="12"/>
      <c r="AG332" s="12"/>
      <c r="AH332" s="12"/>
      <c r="AI332" s="12"/>
    </row>
    <row r="333" spans="1:35" s="10" customFormat="1" x14ac:dyDescent="0.35">
      <c r="A333" s="12"/>
      <c r="B333" s="12"/>
      <c r="C333" s="12"/>
      <c r="D333"/>
      <c r="E333"/>
      <c r="F333"/>
      <c r="G333"/>
      <c r="H333"/>
      <c r="I333"/>
      <c r="J333"/>
      <c r="K333"/>
      <c r="L333"/>
      <c r="M333"/>
      <c r="N333"/>
      <c r="O333"/>
      <c r="P333"/>
      <c r="Q333"/>
      <c r="R333"/>
      <c r="S333"/>
      <c r="T333"/>
      <c r="U333"/>
      <c r="V333"/>
      <c r="W333"/>
      <c r="X333"/>
      <c r="Y333"/>
      <c r="Z333" s="12"/>
      <c r="AA333" s="12"/>
      <c r="AB333" s="12"/>
      <c r="AC333" s="12"/>
      <c r="AD333" s="12"/>
      <c r="AE333" s="12"/>
      <c r="AF333" s="12"/>
      <c r="AG333" s="12"/>
      <c r="AH333" s="12"/>
      <c r="AI333" s="12"/>
    </row>
    <row r="334" spans="1:35" s="10" customFormat="1" x14ac:dyDescent="0.35">
      <c r="A334" s="12"/>
      <c r="B334" s="12"/>
      <c r="C334" s="12"/>
      <c r="D334"/>
      <c r="E334"/>
      <c r="F334"/>
      <c r="G334"/>
      <c r="H334"/>
      <c r="I334"/>
      <c r="J334"/>
      <c r="K334"/>
      <c r="L334"/>
      <c r="M334"/>
      <c r="N334"/>
      <c r="O334"/>
      <c r="P334"/>
      <c r="Q334"/>
      <c r="R334"/>
      <c r="S334"/>
      <c r="T334"/>
      <c r="U334"/>
      <c r="V334"/>
      <c r="W334"/>
      <c r="X334"/>
      <c r="Y334"/>
      <c r="Z334" s="12"/>
      <c r="AA334" s="12"/>
      <c r="AB334" s="12"/>
      <c r="AC334" s="12"/>
      <c r="AD334" s="12"/>
      <c r="AE334" s="12"/>
      <c r="AF334" s="12"/>
      <c r="AG334" s="12"/>
      <c r="AH334" s="12"/>
      <c r="AI334" s="12"/>
    </row>
    <row r="335" spans="1:35" s="10" customFormat="1" x14ac:dyDescent="0.35">
      <c r="A335" s="12"/>
      <c r="B335" s="12"/>
      <c r="C335" s="12"/>
      <c r="D335"/>
      <c r="E335"/>
      <c r="F335"/>
      <c r="G335"/>
      <c r="H335"/>
      <c r="I335"/>
      <c r="J335"/>
      <c r="K335"/>
      <c r="L335"/>
      <c r="M335"/>
      <c r="N335"/>
      <c r="O335"/>
      <c r="P335"/>
      <c r="Q335"/>
      <c r="R335"/>
      <c r="S335"/>
      <c r="T335"/>
      <c r="U335"/>
      <c r="V335"/>
      <c r="W335"/>
      <c r="X335"/>
      <c r="Y335"/>
      <c r="Z335" s="12"/>
      <c r="AA335" s="12"/>
      <c r="AB335" s="12"/>
      <c r="AC335" s="12"/>
      <c r="AD335" s="12"/>
      <c r="AE335" s="12"/>
      <c r="AF335" s="12"/>
      <c r="AG335" s="12"/>
      <c r="AH335" s="12"/>
      <c r="AI335" s="12"/>
    </row>
    <row r="336" spans="1:35" s="10" customFormat="1" x14ac:dyDescent="0.35">
      <c r="A336" s="12"/>
      <c r="B336" s="12"/>
      <c r="C336" s="12"/>
      <c r="D336"/>
      <c r="E336"/>
      <c r="F336"/>
      <c r="G336"/>
      <c r="H336"/>
      <c r="I336"/>
      <c r="J336"/>
      <c r="K336"/>
      <c r="L336"/>
      <c r="M336"/>
      <c r="N336"/>
      <c r="O336"/>
      <c r="P336"/>
      <c r="Q336"/>
      <c r="R336"/>
      <c r="S336"/>
      <c r="T336"/>
      <c r="U336"/>
      <c r="V336"/>
      <c r="W336"/>
      <c r="X336"/>
      <c r="Y336"/>
      <c r="Z336" s="12"/>
      <c r="AA336" s="12"/>
      <c r="AB336" s="12"/>
      <c r="AC336" s="12"/>
      <c r="AD336" s="12"/>
      <c r="AE336" s="12"/>
      <c r="AF336" s="12"/>
      <c r="AG336" s="12"/>
      <c r="AH336" s="12"/>
      <c r="AI336" s="12"/>
    </row>
    <row r="337" spans="1:35" s="10" customFormat="1" x14ac:dyDescent="0.35">
      <c r="A337" s="12"/>
      <c r="B337" s="12"/>
      <c r="C337" s="12"/>
      <c r="D337"/>
      <c r="E337"/>
      <c r="F337"/>
      <c r="G337"/>
      <c r="H337"/>
      <c r="I337"/>
      <c r="J337"/>
      <c r="K337"/>
      <c r="L337"/>
      <c r="M337"/>
      <c r="N337"/>
      <c r="O337"/>
      <c r="P337"/>
      <c r="Q337"/>
      <c r="R337"/>
      <c r="S337"/>
      <c r="T337"/>
      <c r="U337"/>
      <c r="V337"/>
      <c r="W337"/>
      <c r="X337"/>
      <c r="Y337"/>
      <c r="Z337" s="12"/>
      <c r="AA337" s="12"/>
      <c r="AB337" s="12"/>
      <c r="AC337" s="12"/>
      <c r="AD337" s="12"/>
      <c r="AE337" s="12"/>
      <c r="AF337" s="12"/>
      <c r="AG337" s="12"/>
      <c r="AH337" s="12"/>
      <c r="AI337" s="12"/>
    </row>
    <row r="338" spans="1:35" s="10" customFormat="1" x14ac:dyDescent="0.35">
      <c r="A338" s="12"/>
      <c r="B338" s="12"/>
      <c r="C338" s="12"/>
      <c r="D338"/>
      <c r="E338"/>
      <c r="F338"/>
      <c r="G338"/>
      <c r="H338"/>
      <c r="I338"/>
      <c r="J338"/>
      <c r="K338"/>
      <c r="L338"/>
      <c r="M338"/>
      <c r="N338"/>
      <c r="O338"/>
      <c r="P338"/>
      <c r="Q338"/>
      <c r="R338"/>
      <c r="S338"/>
      <c r="T338"/>
      <c r="U338"/>
      <c r="V338"/>
      <c r="W338"/>
      <c r="X338"/>
      <c r="Y338"/>
      <c r="Z338" s="12"/>
      <c r="AA338" s="12"/>
      <c r="AB338" s="12"/>
      <c r="AC338" s="12"/>
      <c r="AD338" s="12"/>
      <c r="AE338" s="12"/>
      <c r="AF338" s="12"/>
      <c r="AG338" s="12"/>
      <c r="AH338" s="12"/>
      <c r="AI338" s="12"/>
    </row>
    <row r="339" spans="1:35" s="10" customFormat="1" x14ac:dyDescent="0.35">
      <c r="A339" s="12"/>
      <c r="B339" s="12"/>
      <c r="C339" s="12"/>
      <c r="D339"/>
      <c r="E339"/>
      <c r="F339"/>
      <c r="G339"/>
      <c r="H339"/>
      <c r="I339"/>
      <c r="J339"/>
      <c r="K339"/>
      <c r="L339"/>
      <c r="M339"/>
      <c r="N339"/>
      <c r="O339"/>
      <c r="P339"/>
      <c r="Q339"/>
      <c r="R339"/>
      <c r="S339"/>
      <c r="T339"/>
      <c r="U339"/>
      <c r="V339"/>
      <c r="W339"/>
      <c r="X339"/>
      <c r="Y339"/>
      <c r="Z339" s="12"/>
      <c r="AA339" s="12"/>
      <c r="AB339" s="12"/>
      <c r="AC339" s="12"/>
      <c r="AD339" s="12"/>
      <c r="AE339" s="12"/>
      <c r="AF339" s="12"/>
      <c r="AG339" s="12"/>
      <c r="AH339" s="12"/>
      <c r="AI339" s="12"/>
    </row>
    <row r="340" spans="1:35" s="10" customFormat="1" x14ac:dyDescent="0.35">
      <c r="A340" s="12"/>
      <c r="B340" s="12"/>
      <c r="C340" s="12"/>
      <c r="D340"/>
      <c r="E340"/>
      <c r="F340"/>
      <c r="G340"/>
      <c r="H340"/>
      <c r="I340"/>
      <c r="J340"/>
      <c r="K340"/>
      <c r="L340"/>
      <c r="M340"/>
      <c r="N340"/>
      <c r="O340"/>
      <c r="P340"/>
      <c r="Q340"/>
      <c r="R340"/>
      <c r="S340"/>
      <c r="T340"/>
      <c r="U340"/>
      <c r="V340"/>
      <c r="W340"/>
      <c r="X340"/>
      <c r="Y340"/>
      <c r="Z340" s="12"/>
      <c r="AA340" s="12"/>
      <c r="AB340" s="12"/>
      <c r="AC340" s="12"/>
      <c r="AD340" s="12"/>
      <c r="AE340" s="12"/>
      <c r="AF340" s="12"/>
      <c r="AG340" s="12"/>
      <c r="AH340" s="12"/>
      <c r="AI340" s="12"/>
    </row>
    <row r="341" spans="1:35" s="10" customFormat="1" x14ac:dyDescent="0.35">
      <c r="A341" s="12"/>
      <c r="B341" s="12"/>
      <c r="C341" s="12"/>
      <c r="D341"/>
      <c r="E341"/>
      <c r="F341"/>
      <c r="G341"/>
      <c r="H341"/>
      <c r="I341"/>
      <c r="J341"/>
      <c r="K341"/>
      <c r="L341"/>
      <c r="M341"/>
      <c r="N341"/>
      <c r="O341"/>
      <c r="P341"/>
      <c r="Q341"/>
      <c r="R341"/>
      <c r="S341"/>
      <c r="T341"/>
      <c r="U341"/>
      <c r="V341"/>
      <c r="W341"/>
      <c r="X341"/>
      <c r="Y341"/>
      <c r="Z341" s="12"/>
      <c r="AA341" s="12"/>
      <c r="AB341" s="12"/>
      <c r="AC341" s="12"/>
      <c r="AD341" s="12"/>
      <c r="AE341" s="12"/>
      <c r="AF341" s="12"/>
      <c r="AG341" s="12"/>
      <c r="AH341" s="12"/>
      <c r="AI341" s="12"/>
    </row>
    <row r="342" spans="1:35" s="10" customFormat="1" x14ac:dyDescent="0.35">
      <c r="A342" s="12"/>
      <c r="B342" s="12"/>
      <c r="C342" s="12"/>
      <c r="D342"/>
      <c r="E342"/>
      <c r="F342"/>
      <c r="G342"/>
      <c r="H342"/>
      <c r="I342"/>
      <c r="J342"/>
      <c r="K342"/>
      <c r="L342"/>
      <c r="M342"/>
      <c r="N342"/>
      <c r="O342"/>
      <c r="P342"/>
      <c r="Q342"/>
      <c r="R342"/>
      <c r="S342"/>
      <c r="T342"/>
      <c r="U342"/>
      <c r="V342"/>
      <c r="W342"/>
      <c r="X342"/>
      <c r="Y342"/>
      <c r="Z342" s="12"/>
      <c r="AA342" s="12"/>
      <c r="AB342" s="12"/>
      <c r="AC342" s="12"/>
      <c r="AD342" s="12"/>
      <c r="AE342" s="12"/>
      <c r="AF342" s="12"/>
      <c r="AG342" s="12"/>
      <c r="AH342" s="12"/>
      <c r="AI342" s="12"/>
    </row>
    <row r="343" spans="1:35" s="10" customFormat="1" x14ac:dyDescent="0.35">
      <c r="A343" s="12"/>
      <c r="B343" s="12"/>
      <c r="C343" s="12"/>
      <c r="D343"/>
      <c r="E343"/>
      <c r="F343"/>
      <c r="G343"/>
      <c r="H343"/>
      <c r="I343"/>
      <c r="J343"/>
      <c r="K343"/>
      <c r="L343"/>
      <c r="M343"/>
      <c r="N343"/>
      <c r="O343"/>
      <c r="P343"/>
      <c r="Q343"/>
      <c r="R343"/>
      <c r="S343"/>
      <c r="T343"/>
      <c r="U343"/>
      <c r="V343"/>
      <c r="W343"/>
      <c r="X343"/>
      <c r="Y343"/>
      <c r="Z343" s="12"/>
      <c r="AA343" s="12"/>
      <c r="AB343" s="12"/>
      <c r="AC343" s="12"/>
      <c r="AD343" s="12"/>
      <c r="AE343" s="12"/>
      <c r="AF343" s="12"/>
      <c r="AG343" s="12"/>
      <c r="AH343" s="12"/>
      <c r="AI343" s="12"/>
    </row>
    <row r="344" spans="1:35" s="10" customFormat="1" x14ac:dyDescent="0.35">
      <c r="A344" s="12"/>
      <c r="B344" s="12"/>
      <c r="C344" s="12"/>
      <c r="D344"/>
      <c r="E344"/>
      <c r="F344"/>
      <c r="G344"/>
      <c r="H344"/>
      <c r="I344"/>
      <c r="J344"/>
      <c r="K344"/>
      <c r="L344"/>
      <c r="M344"/>
      <c r="N344"/>
      <c r="O344"/>
      <c r="P344"/>
      <c r="Q344"/>
      <c r="R344"/>
      <c r="S344"/>
      <c r="T344"/>
      <c r="U344"/>
      <c r="V344"/>
      <c r="W344"/>
      <c r="X344"/>
      <c r="Y344"/>
      <c r="Z344" s="12"/>
      <c r="AA344" s="12"/>
      <c r="AB344" s="12"/>
      <c r="AC344" s="12"/>
      <c r="AD344" s="12"/>
      <c r="AE344" s="12"/>
      <c r="AF344" s="12"/>
      <c r="AG344" s="12"/>
      <c r="AH344" s="12"/>
      <c r="AI344" s="12"/>
    </row>
    <row r="345" spans="1:35" s="10" customFormat="1" x14ac:dyDescent="0.35">
      <c r="A345" s="12"/>
      <c r="B345" s="12"/>
      <c r="C345" s="12"/>
      <c r="D345"/>
      <c r="E345"/>
      <c r="F345"/>
      <c r="G345"/>
      <c r="H345"/>
      <c r="I345"/>
      <c r="J345"/>
      <c r="K345"/>
      <c r="L345"/>
      <c r="M345"/>
      <c r="N345"/>
      <c r="O345"/>
      <c r="P345"/>
      <c r="Q345"/>
      <c r="R345"/>
      <c r="S345"/>
      <c r="T345"/>
      <c r="U345"/>
      <c r="V345"/>
      <c r="W345"/>
      <c r="X345"/>
      <c r="Y345"/>
      <c r="Z345" s="12"/>
      <c r="AA345" s="12"/>
      <c r="AB345" s="12"/>
      <c r="AC345" s="12"/>
      <c r="AD345" s="12"/>
      <c r="AE345" s="12"/>
      <c r="AF345" s="12"/>
      <c r="AG345" s="12"/>
      <c r="AH345" s="12"/>
      <c r="AI345" s="12"/>
    </row>
    <row r="346" spans="1:35" s="10" customFormat="1" x14ac:dyDescent="0.35">
      <c r="A346" s="12"/>
      <c r="B346" s="12"/>
      <c r="C346" s="12"/>
      <c r="D346"/>
      <c r="E346"/>
      <c r="F346"/>
      <c r="G346"/>
      <c r="H346"/>
      <c r="I346"/>
      <c r="J346"/>
      <c r="K346"/>
      <c r="L346"/>
      <c r="M346"/>
      <c r="N346"/>
      <c r="O346"/>
      <c r="P346"/>
      <c r="Q346"/>
      <c r="R346"/>
      <c r="S346"/>
      <c r="T346"/>
      <c r="U346"/>
      <c r="V346"/>
      <c r="W346"/>
      <c r="X346"/>
      <c r="Y346"/>
      <c r="Z346" s="12"/>
      <c r="AA346" s="12"/>
      <c r="AB346" s="12"/>
      <c r="AC346" s="12"/>
      <c r="AD346" s="12"/>
      <c r="AE346" s="12"/>
      <c r="AF346" s="12"/>
      <c r="AG346" s="12"/>
      <c r="AH346" s="12"/>
      <c r="AI346" s="12"/>
    </row>
    <row r="347" spans="1:35" s="10" customFormat="1" x14ac:dyDescent="0.35">
      <c r="A347" s="12"/>
      <c r="B347" s="12"/>
      <c r="C347" s="12"/>
      <c r="D347"/>
      <c r="E347"/>
      <c r="F347"/>
      <c r="G347"/>
      <c r="H347"/>
      <c r="I347"/>
      <c r="J347"/>
      <c r="K347"/>
      <c r="L347"/>
      <c r="M347"/>
      <c r="N347"/>
      <c r="O347"/>
      <c r="P347"/>
      <c r="Q347"/>
      <c r="R347"/>
      <c r="S347"/>
      <c r="T347"/>
      <c r="U347"/>
      <c r="V347"/>
      <c r="W347"/>
      <c r="X347"/>
      <c r="Y347"/>
      <c r="Z347" s="12"/>
      <c r="AA347" s="12"/>
      <c r="AB347" s="12"/>
      <c r="AC347" s="12"/>
      <c r="AD347" s="12"/>
      <c r="AE347" s="12"/>
      <c r="AF347" s="12"/>
      <c r="AG347" s="12"/>
      <c r="AH347" s="12"/>
      <c r="AI347" s="12"/>
    </row>
    <row r="348" spans="1:35" s="10" customFormat="1" x14ac:dyDescent="0.35">
      <c r="A348" s="12"/>
      <c r="B348" s="12"/>
      <c r="C348" s="12"/>
      <c r="D348"/>
      <c r="E348"/>
      <c r="F348"/>
      <c r="G348"/>
      <c r="H348"/>
      <c r="I348"/>
      <c r="J348"/>
      <c r="K348"/>
      <c r="L348"/>
      <c r="M348"/>
      <c r="N348"/>
      <c r="O348"/>
      <c r="P348"/>
      <c r="Q348"/>
      <c r="R348"/>
      <c r="S348"/>
      <c r="T348"/>
      <c r="U348"/>
      <c r="V348"/>
      <c r="W348"/>
      <c r="X348"/>
      <c r="Y348"/>
      <c r="Z348" s="12"/>
      <c r="AA348" s="12"/>
      <c r="AB348" s="12"/>
      <c r="AC348" s="12"/>
      <c r="AD348" s="12"/>
      <c r="AE348" s="12"/>
      <c r="AF348" s="12"/>
      <c r="AG348" s="12"/>
      <c r="AH348" s="12"/>
      <c r="AI348" s="12"/>
    </row>
    <row r="349" spans="1:35" s="10" customFormat="1" x14ac:dyDescent="0.35">
      <c r="A349" s="12"/>
      <c r="B349" s="12"/>
      <c r="C349" s="12"/>
      <c r="D349"/>
      <c r="E349"/>
      <c r="F349"/>
      <c r="G349"/>
      <c r="H349"/>
      <c r="I349"/>
      <c r="J349"/>
      <c r="K349"/>
      <c r="L349"/>
      <c r="M349"/>
      <c r="N349"/>
      <c r="O349"/>
      <c r="P349"/>
      <c r="Q349"/>
      <c r="R349"/>
      <c r="S349"/>
      <c r="T349"/>
      <c r="U349"/>
      <c r="V349"/>
      <c r="W349"/>
      <c r="X349"/>
      <c r="Y349"/>
      <c r="Z349" s="12"/>
      <c r="AA349" s="12"/>
      <c r="AB349" s="12"/>
      <c r="AC349" s="12"/>
      <c r="AD349" s="12"/>
      <c r="AE349" s="12"/>
      <c r="AF349" s="12"/>
      <c r="AG349" s="12"/>
      <c r="AH349" s="12"/>
      <c r="AI349" s="12"/>
    </row>
    <row r="350" spans="1:35" s="10" customFormat="1" x14ac:dyDescent="0.35">
      <c r="A350" s="12"/>
      <c r="B350" s="12"/>
      <c r="C350" s="12"/>
      <c r="D350"/>
      <c r="E350"/>
      <c r="F350"/>
      <c r="G350"/>
      <c r="H350"/>
      <c r="I350"/>
      <c r="J350"/>
      <c r="K350"/>
      <c r="L350"/>
      <c r="M350"/>
      <c r="N350"/>
      <c r="O350"/>
      <c r="P350"/>
      <c r="Q350"/>
      <c r="R350"/>
      <c r="S350"/>
      <c r="T350"/>
      <c r="U350"/>
      <c r="V350"/>
      <c r="W350"/>
      <c r="X350"/>
      <c r="Y350"/>
      <c r="Z350" s="12"/>
      <c r="AA350" s="12"/>
      <c r="AB350" s="12"/>
      <c r="AC350" s="12"/>
      <c r="AD350" s="12"/>
      <c r="AE350" s="12"/>
      <c r="AF350" s="12"/>
      <c r="AG350" s="12"/>
      <c r="AH350" s="12"/>
      <c r="AI350" s="12"/>
    </row>
    <row r="351" spans="1:35" s="10" customFormat="1" x14ac:dyDescent="0.35">
      <c r="A351" s="12"/>
      <c r="B351" s="12"/>
      <c r="C351" s="12"/>
      <c r="D351"/>
      <c r="E351"/>
      <c r="F351"/>
      <c r="G351"/>
      <c r="H351"/>
      <c r="I351"/>
      <c r="J351"/>
      <c r="K351"/>
      <c r="L351"/>
      <c r="M351"/>
      <c r="N351"/>
      <c r="O351"/>
      <c r="P351"/>
      <c r="Q351"/>
      <c r="R351"/>
      <c r="S351"/>
      <c r="T351"/>
      <c r="U351"/>
      <c r="V351"/>
      <c r="W351"/>
      <c r="X351"/>
      <c r="Y351"/>
      <c r="Z351" s="12"/>
      <c r="AA351" s="12"/>
      <c r="AB351" s="12"/>
      <c r="AC351" s="12"/>
      <c r="AD351" s="12"/>
      <c r="AE351" s="12"/>
      <c r="AF351" s="12"/>
      <c r="AG351" s="12"/>
      <c r="AH351" s="12"/>
      <c r="AI351" s="12"/>
    </row>
    <row r="352" spans="1:35" s="10" customFormat="1" x14ac:dyDescent="0.35">
      <c r="A352" s="12"/>
      <c r="B352" s="12"/>
      <c r="C352" s="12"/>
      <c r="D352"/>
      <c r="E352"/>
      <c r="F352"/>
      <c r="G352"/>
      <c r="H352"/>
      <c r="I352"/>
      <c r="J352"/>
      <c r="K352"/>
      <c r="L352"/>
      <c r="M352"/>
      <c r="N352"/>
      <c r="O352"/>
      <c r="P352"/>
      <c r="Q352"/>
      <c r="R352"/>
      <c r="S352"/>
      <c r="T352"/>
      <c r="U352"/>
      <c r="V352"/>
      <c r="W352"/>
      <c r="X352"/>
      <c r="Y352"/>
      <c r="Z352" s="12"/>
      <c r="AA352" s="12"/>
      <c r="AB352" s="12"/>
      <c r="AC352" s="12"/>
      <c r="AD352" s="12"/>
      <c r="AE352" s="12"/>
      <c r="AF352" s="12"/>
      <c r="AG352" s="12"/>
      <c r="AH352" s="12"/>
      <c r="AI352" s="12"/>
    </row>
    <row r="353" spans="1:35" s="10" customFormat="1" x14ac:dyDescent="0.35">
      <c r="A353" s="12"/>
      <c r="B353" s="12"/>
      <c r="C353" s="12"/>
      <c r="D353"/>
      <c r="E353"/>
      <c r="F353"/>
      <c r="G353"/>
      <c r="H353"/>
      <c r="I353"/>
      <c r="J353"/>
      <c r="K353"/>
      <c r="L353"/>
      <c r="M353"/>
      <c r="N353"/>
      <c r="O353"/>
      <c r="P353"/>
      <c r="Q353"/>
      <c r="R353"/>
      <c r="S353"/>
      <c r="T353"/>
      <c r="U353"/>
      <c r="V353"/>
      <c r="W353"/>
      <c r="X353"/>
      <c r="Y353"/>
      <c r="Z353" s="12"/>
      <c r="AA353" s="12"/>
      <c r="AB353" s="12"/>
      <c r="AC353" s="12"/>
      <c r="AD353" s="12"/>
      <c r="AE353" s="12"/>
      <c r="AF353" s="12"/>
      <c r="AG353" s="12"/>
      <c r="AH353" s="12"/>
      <c r="AI353" s="12"/>
    </row>
    <row r="354" spans="1:35" s="10" customFormat="1" x14ac:dyDescent="0.35">
      <c r="A354" s="12"/>
      <c r="B354" s="12"/>
      <c r="C354" s="12"/>
      <c r="D354"/>
      <c r="E354"/>
      <c r="F354"/>
      <c r="G354"/>
      <c r="H354"/>
      <c r="I354"/>
      <c r="J354"/>
      <c r="K354"/>
      <c r="L354"/>
      <c r="M354"/>
      <c r="N354"/>
      <c r="O354"/>
      <c r="P354"/>
      <c r="Q354"/>
      <c r="R354"/>
      <c r="S354"/>
      <c r="T354"/>
      <c r="U354"/>
      <c r="V354"/>
      <c r="W354"/>
      <c r="X354"/>
      <c r="Y354"/>
      <c r="Z354" s="12"/>
      <c r="AA354" s="12"/>
      <c r="AB354" s="12"/>
      <c r="AC354" s="12"/>
      <c r="AD354" s="12"/>
      <c r="AE354" s="12"/>
      <c r="AF354" s="12"/>
      <c r="AG354" s="12"/>
      <c r="AH354" s="12"/>
      <c r="AI354" s="12"/>
    </row>
    <row r="355" spans="1:35" s="10" customFormat="1" x14ac:dyDescent="0.35">
      <c r="A355" s="12"/>
      <c r="B355" s="12"/>
      <c r="C355" s="12"/>
      <c r="D355"/>
      <c r="E355"/>
      <c r="F355"/>
      <c r="G355"/>
      <c r="H355"/>
      <c r="I355"/>
      <c r="J355"/>
      <c r="K355"/>
      <c r="L355"/>
      <c r="M355"/>
      <c r="N355"/>
      <c r="O355"/>
      <c r="P355"/>
      <c r="Q355"/>
      <c r="R355"/>
      <c r="S355"/>
      <c r="T355"/>
      <c r="U355"/>
      <c r="V355"/>
      <c r="W355"/>
      <c r="X355"/>
      <c r="Y355"/>
      <c r="Z355" s="12"/>
      <c r="AA355" s="12"/>
      <c r="AB355" s="12"/>
      <c r="AC355" s="12"/>
      <c r="AD355" s="12"/>
      <c r="AE355" s="12"/>
      <c r="AF355" s="12"/>
      <c r="AG355" s="12"/>
      <c r="AH355" s="12"/>
      <c r="AI355" s="12"/>
    </row>
    <row r="356" spans="1:35" s="10" customFormat="1" x14ac:dyDescent="0.35">
      <c r="A356" s="12"/>
      <c r="B356" s="12"/>
      <c r="C356" s="12"/>
      <c r="D356"/>
      <c r="E356"/>
      <c r="F356"/>
      <c r="G356"/>
      <c r="H356"/>
      <c r="I356"/>
      <c r="J356"/>
      <c r="K356"/>
      <c r="L356"/>
      <c r="M356"/>
      <c r="N356"/>
      <c r="O356"/>
      <c r="P356"/>
      <c r="Q356"/>
      <c r="R356"/>
      <c r="S356"/>
      <c r="T356"/>
      <c r="U356"/>
      <c r="V356"/>
      <c r="W356"/>
      <c r="X356"/>
      <c r="Y356"/>
      <c r="Z356" s="12"/>
      <c r="AA356" s="12"/>
      <c r="AB356" s="12"/>
      <c r="AC356" s="12"/>
      <c r="AD356" s="12"/>
      <c r="AE356" s="12"/>
      <c r="AF356" s="12"/>
      <c r="AG356" s="12"/>
      <c r="AH356" s="12"/>
      <c r="AI356" s="12"/>
    </row>
    <row r="357" spans="1:35" s="10" customFormat="1" x14ac:dyDescent="0.35">
      <c r="A357" s="12"/>
      <c r="B357" s="12"/>
      <c r="C357" s="12"/>
      <c r="D357"/>
      <c r="E357"/>
      <c r="F357"/>
      <c r="G357"/>
      <c r="H357"/>
      <c r="I357"/>
      <c r="J357"/>
      <c r="K357"/>
      <c r="L357"/>
      <c r="M357"/>
      <c r="N357"/>
      <c r="O357"/>
      <c r="P357"/>
      <c r="Q357"/>
      <c r="R357"/>
      <c r="S357"/>
      <c r="T357"/>
      <c r="U357"/>
      <c r="V357"/>
      <c r="W357"/>
      <c r="X357"/>
      <c r="Y357"/>
      <c r="Z357" s="12"/>
      <c r="AA357" s="12"/>
      <c r="AB357" s="12"/>
      <c r="AC357" s="12"/>
      <c r="AD357" s="12"/>
      <c r="AE357" s="12"/>
      <c r="AF357" s="12"/>
      <c r="AG357" s="12"/>
      <c r="AH357" s="12"/>
      <c r="AI357" s="12"/>
    </row>
    <row r="358" spans="1:35" s="10" customFormat="1" x14ac:dyDescent="0.35">
      <c r="A358" s="12"/>
      <c r="B358" s="12"/>
      <c r="C358" s="12"/>
      <c r="D358"/>
      <c r="E358"/>
      <c r="F358"/>
      <c r="G358"/>
      <c r="H358"/>
      <c r="I358"/>
      <c r="J358"/>
      <c r="K358"/>
      <c r="L358"/>
      <c r="M358"/>
      <c r="N358"/>
      <c r="O358"/>
      <c r="P358"/>
      <c r="Q358"/>
      <c r="R358"/>
      <c r="S358"/>
      <c r="T358"/>
      <c r="U358"/>
      <c r="V358"/>
      <c r="W358"/>
      <c r="X358"/>
      <c r="Y358"/>
      <c r="Z358" s="12"/>
      <c r="AA358" s="12"/>
      <c r="AB358" s="12"/>
      <c r="AC358" s="12"/>
      <c r="AD358" s="12"/>
      <c r="AE358" s="12"/>
      <c r="AF358" s="12"/>
      <c r="AG358" s="12"/>
      <c r="AH358" s="12"/>
      <c r="AI358" s="12"/>
    </row>
    <row r="359" spans="1:35" s="10" customFormat="1" x14ac:dyDescent="0.35">
      <c r="A359" s="12"/>
      <c r="B359" s="12"/>
      <c r="C359" s="12"/>
      <c r="D359"/>
      <c r="E359"/>
      <c r="F359"/>
      <c r="G359"/>
      <c r="H359"/>
      <c r="I359"/>
      <c r="J359"/>
      <c r="K359"/>
      <c r="L359"/>
      <c r="M359"/>
      <c r="N359"/>
      <c r="O359"/>
      <c r="P359"/>
      <c r="Q359"/>
      <c r="R359"/>
      <c r="S359"/>
      <c r="T359"/>
      <c r="U359"/>
      <c r="V359"/>
      <c r="W359"/>
      <c r="X359"/>
      <c r="Y359"/>
      <c r="Z359" s="12"/>
      <c r="AA359" s="12"/>
      <c r="AB359" s="12"/>
      <c r="AC359" s="12"/>
      <c r="AD359" s="12"/>
      <c r="AE359" s="12"/>
      <c r="AF359" s="12"/>
      <c r="AG359" s="12"/>
      <c r="AH359" s="12"/>
      <c r="AI359" s="12"/>
    </row>
    <row r="360" spans="1:35" s="10" customFormat="1" x14ac:dyDescent="0.35">
      <c r="A360" s="12"/>
      <c r="B360" s="12"/>
      <c r="C360" s="12"/>
      <c r="D360"/>
      <c r="E360"/>
      <c r="F360"/>
      <c r="G360"/>
      <c r="H360"/>
      <c r="I360"/>
      <c r="J360"/>
      <c r="K360"/>
      <c r="L360"/>
      <c r="M360"/>
      <c r="N360"/>
      <c r="O360"/>
      <c r="P360"/>
      <c r="Q360"/>
      <c r="R360"/>
      <c r="S360"/>
      <c r="T360"/>
      <c r="U360"/>
      <c r="V360"/>
      <c r="W360"/>
      <c r="X360"/>
      <c r="Y360"/>
      <c r="Z360" s="12"/>
      <c r="AA360" s="12"/>
      <c r="AB360" s="12"/>
      <c r="AC360" s="12"/>
      <c r="AD360" s="12"/>
      <c r="AE360" s="12"/>
      <c r="AF360" s="12"/>
      <c r="AG360" s="12"/>
      <c r="AH360" s="12"/>
      <c r="AI360" s="12"/>
    </row>
    <row r="361" spans="1:35" s="10" customFormat="1" x14ac:dyDescent="0.35">
      <c r="A361" s="12"/>
      <c r="B361" s="12"/>
      <c r="C361" s="12"/>
      <c r="D361"/>
      <c r="E361"/>
      <c r="F361"/>
      <c r="G361"/>
      <c r="H361"/>
      <c r="I361"/>
      <c r="J361"/>
      <c r="K361"/>
      <c r="L361"/>
      <c r="M361"/>
      <c r="N361"/>
      <c r="O361"/>
      <c r="P361"/>
      <c r="Q361"/>
      <c r="R361"/>
      <c r="S361"/>
      <c r="T361"/>
      <c r="U361"/>
      <c r="V361"/>
      <c r="W361"/>
      <c r="X361"/>
      <c r="Y361"/>
      <c r="Z361" s="12"/>
      <c r="AA361" s="12"/>
      <c r="AB361" s="12"/>
      <c r="AC361" s="12"/>
      <c r="AD361" s="12"/>
      <c r="AE361" s="12"/>
      <c r="AF361" s="12"/>
      <c r="AG361" s="12"/>
      <c r="AH361" s="12"/>
      <c r="AI361" s="12"/>
    </row>
    <row r="362" spans="1:35" s="10" customFormat="1" x14ac:dyDescent="0.35">
      <c r="A362" s="12"/>
      <c r="B362" s="12"/>
      <c r="C362" s="12"/>
      <c r="D362"/>
      <c r="E362"/>
      <c r="F362"/>
      <c r="G362"/>
      <c r="H362"/>
      <c r="I362"/>
      <c r="J362"/>
      <c r="K362"/>
      <c r="L362"/>
      <c r="M362"/>
      <c r="N362"/>
      <c r="O362"/>
      <c r="P362"/>
      <c r="Q362"/>
      <c r="R362"/>
      <c r="S362"/>
      <c r="T362"/>
      <c r="U362"/>
      <c r="V362"/>
      <c r="W362"/>
      <c r="X362"/>
      <c r="Y362"/>
      <c r="Z362" s="12"/>
      <c r="AA362" s="12"/>
      <c r="AB362" s="12"/>
      <c r="AC362" s="12"/>
      <c r="AD362" s="12"/>
      <c r="AE362" s="12"/>
      <c r="AF362" s="12"/>
      <c r="AG362" s="12"/>
      <c r="AH362" s="12"/>
      <c r="AI362" s="12"/>
    </row>
    <row r="363" spans="1:35" s="10" customFormat="1" x14ac:dyDescent="0.35">
      <c r="A363" s="12"/>
      <c r="B363" s="12"/>
      <c r="C363" s="12"/>
      <c r="D363"/>
      <c r="E363"/>
      <c r="F363"/>
      <c r="G363"/>
      <c r="H363"/>
      <c r="I363"/>
      <c r="J363"/>
      <c r="K363"/>
      <c r="L363"/>
      <c r="M363"/>
      <c r="N363"/>
      <c r="O363"/>
      <c r="P363"/>
      <c r="Q363"/>
      <c r="R363"/>
      <c r="S363"/>
      <c r="T363"/>
      <c r="U363"/>
      <c r="V363"/>
      <c r="W363"/>
      <c r="X363"/>
      <c r="Y363"/>
      <c r="Z363" s="12"/>
      <c r="AA363" s="12"/>
      <c r="AB363" s="12"/>
      <c r="AC363" s="12"/>
      <c r="AD363" s="12"/>
      <c r="AE363" s="12"/>
      <c r="AF363" s="12"/>
      <c r="AG363" s="12"/>
      <c r="AH363" s="12"/>
      <c r="AI363" s="12"/>
    </row>
    <row r="364" spans="1:35" s="10" customFormat="1" x14ac:dyDescent="0.35">
      <c r="A364" s="12"/>
      <c r="B364" s="12"/>
      <c r="C364" s="12"/>
      <c r="D364"/>
      <c r="E364"/>
      <c r="F364"/>
      <c r="G364"/>
      <c r="H364"/>
      <c r="I364"/>
      <c r="J364"/>
      <c r="K364"/>
      <c r="L364"/>
      <c r="M364"/>
      <c r="N364"/>
      <c r="O364"/>
      <c r="P364"/>
      <c r="Q364"/>
      <c r="R364"/>
      <c r="S364"/>
      <c r="T364"/>
      <c r="U364"/>
      <c r="V364"/>
      <c r="W364"/>
      <c r="X364"/>
      <c r="Y364"/>
      <c r="Z364" s="12"/>
      <c r="AA364" s="12"/>
      <c r="AB364" s="12"/>
      <c r="AC364" s="12"/>
      <c r="AD364" s="12"/>
      <c r="AE364" s="12"/>
      <c r="AF364" s="12"/>
      <c r="AG364" s="12"/>
      <c r="AH364" s="12"/>
      <c r="AI364" s="12"/>
    </row>
    <row r="365" spans="1:35" s="10" customFormat="1" x14ac:dyDescent="0.35">
      <c r="A365" s="12"/>
      <c r="B365" s="12"/>
      <c r="C365" s="12"/>
      <c r="D365"/>
      <c r="E365"/>
      <c r="F365"/>
      <c r="G365"/>
      <c r="H365"/>
      <c r="I365"/>
      <c r="J365"/>
      <c r="K365"/>
      <c r="L365"/>
      <c r="M365"/>
      <c r="N365"/>
      <c r="O365"/>
      <c r="P365"/>
      <c r="Q365"/>
      <c r="R365"/>
      <c r="S365"/>
      <c r="T365"/>
      <c r="U365"/>
      <c r="V365"/>
      <c r="W365"/>
      <c r="X365"/>
      <c r="Y365"/>
      <c r="Z365" s="12"/>
      <c r="AA365" s="12"/>
      <c r="AB365" s="12"/>
      <c r="AC365" s="12"/>
      <c r="AD365" s="12"/>
      <c r="AE365" s="12"/>
      <c r="AF365" s="12"/>
      <c r="AG365" s="12"/>
      <c r="AH365" s="12"/>
      <c r="AI365" s="12"/>
    </row>
    <row r="366" spans="1:35" s="10" customFormat="1" x14ac:dyDescent="0.35">
      <c r="A366" s="12"/>
      <c r="B366" s="12"/>
      <c r="C366" s="12"/>
      <c r="D366"/>
      <c r="E366"/>
      <c r="F366"/>
      <c r="G366"/>
      <c r="H366"/>
      <c r="I366"/>
      <c r="J366"/>
      <c r="K366"/>
      <c r="L366"/>
      <c r="M366"/>
      <c r="N366"/>
      <c r="O366"/>
      <c r="P366"/>
      <c r="Q366"/>
      <c r="R366"/>
      <c r="S366"/>
      <c r="T366"/>
      <c r="U366"/>
      <c r="V366"/>
      <c r="W366"/>
      <c r="X366"/>
      <c r="Y366"/>
      <c r="Z366" s="12"/>
      <c r="AA366" s="12"/>
      <c r="AB366" s="12"/>
      <c r="AC366" s="12"/>
      <c r="AD366" s="12"/>
      <c r="AE366" s="12"/>
      <c r="AF366" s="12"/>
      <c r="AG366" s="12"/>
      <c r="AH366" s="12"/>
      <c r="AI366" s="12"/>
    </row>
    <row r="367" spans="1:35" s="10" customFormat="1" x14ac:dyDescent="0.35">
      <c r="A367" s="12"/>
      <c r="B367" s="12"/>
      <c r="C367" s="12"/>
      <c r="D367"/>
      <c r="E367"/>
      <c r="F367"/>
      <c r="G367"/>
      <c r="H367"/>
      <c r="I367"/>
      <c r="J367"/>
      <c r="K367"/>
      <c r="L367"/>
      <c r="M367"/>
      <c r="N367"/>
      <c r="O367"/>
      <c r="P367"/>
      <c r="Q367"/>
      <c r="R367"/>
      <c r="S367"/>
      <c r="T367"/>
      <c r="U367"/>
      <c r="V367"/>
      <c r="W367"/>
      <c r="X367"/>
      <c r="Y367"/>
      <c r="Z367" s="12"/>
      <c r="AA367" s="12"/>
      <c r="AB367" s="12"/>
      <c r="AC367" s="12"/>
      <c r="AD367" s="12"/>
      <c r="AE367" s="12"/>
      <c r="AF367" s="12"/>
      <c r="AG367" s="12"/>
      <c r="AH367" s="12"/>
      <c r="AI367" s="12"/>
    </row>
    <row r="368" spans="1:35" s="10" customFormat="1" x14ac:dyDescent="0.35">
      <c r="A368" s="12"/>
      <c r="B368" s="12"/>
      <c r="C368" s="12"/>
      <c r="D368"/>
      <c r="E368"/>
      <c r="F368"/>
      <c r="G368"/>
      <c r="H368"/>
      <c r="I368"/>
      <c r="J368"/>
      <c r="K368"/>
      <c r="L368"/>
      <c r="M368"/>
      <c r="N368"/>
      <c r="O368"/>
      <c r="P368"/>
      <c r="Q368"/>
      <c r="R368"/>
      <c r="S368"/>
      <c r="T368"/>
      <c r="U368"/>
      <c r="V368"/>
      <c r="W368"/>
      <c r="X368"/>
      <c r="Y368"/>
      <c r="Z368" s="12"/>
      <c r="AA368" s="12"/>
      <c r="AB368" s="12"/>
      <c r="AC368" s="12"/>
      <c r="AD368" s="12"/>
      <c r="AE368" s="12"/>
      <c r="AF368" s="12"/>
      <c r="AG368" s="12"/>
      <c r="AH368" s="12"/>
      <c r="AI368" s="12"/>
    </row>
    <row r="369" spans="1:35" s="10" customFormat="1" x14ac:dyDescent="0.35">
      <c r="A369" s="12"/>
      <c r="B369" s="12"/>
      <c r="C369" s="12"/>
      <c r="D369"/>
      <c r="E369"/>
      <c r="F369"/>
      <c r="G369"/>
      <c r="H369"/>
      <c r="I369"/>
      <c r="J369"/>
      <c r="K369"/>
      <c r="L369"/>
      <c r="M369"/>
      <c r="N369"/>
      <c r="O369"/>
      <c r="P369"/>
      <c r="Q369"/>
      <c r="R369"/>
      <c r="S369"/>
      <c r="T369"/>
      <c r="U369"/>
      <c r="V369"/>
      <c r="W369"/>
      <c r="X369"/>
      <c r="Y369"/>
      <c r="Z369" s="12"/>
      <c r="AA369" s="12"/>
      <c r="AB369" s="12"/>
      <c r="AC369" s="12"/>
      <c r="AD369" s="12"/>
      <c r="AE369" s="12"/>
      <c r="AF369" s="12"/>
      <c r="AG369" s="12"/>
      <c r="AH369" s="12"/>
      <c r="AI369" s="12"/>
    </row>
    <row r="370" spans="1:35" s="10" customFormat="1" x14ac:dyDescent="0.35">
      <c r="A370" s="12"/>
      <c r="B370" s="12"/>
      <c r="C370" s="12"/>
      <c r="D370"/>
      <c r="E370"/>
      <c r="F370"/>
      <c r="G370"/>
      <c r="H370"/>
      <c r="I370"/>
      <c r="J370"/>
      <c r="K370"/>
      <c r="L370"/>
      <c r="M370"/>
      <c r="N370"/>
      <c r="O370"/>
      <c r="P370"/>
      <c r="Q370"/>
      <c r="R370"/>
      <c r="S370"/>
      <c r="T370"/>
      <c r="U370"/>
      <c r="V370"/>
      <c r="W370"/>
      <c r="X370"/>
      <c r="Y370"/>
      <c r="Z370" s="12"/>
      <c r="AA370" s="12"/>
      <c r="AB370" s="12"/>
      <c r="AC370" s="12"/>
      <c r="AD370" s="12"/>
      <c r="AE370" s="12"/>
      <c r="AF370" s="12"/>
      <c r="AG370" s="12"/>
      <c r="AH370" s="12"/>
      <c r="AI370" s="12"/>
    </row>
    <row r="371" spans="1:35" s="10" customFormat="1" x14ac:dyDescent="0.35">
      <c r="A371" s="12"/>
      <c r="B371" s="12"/>
      <c r="C371" s="12"/>
      <c r="D371"/>
      <c r="E371"/>
      <c r="F371"/>
      <c r="G371"/>
      <c r="H371"/>
      <c r="I371"/>
      <c r="J371"/>
      <c r="K371"/>
      <c r="L371"/>
      <c r="M371"/>
      <c r="N371"/>
      <c r="O371"/>
      <c r="P371"/>
      <c r="Q371"/>
      <c r="R371"/>
      <c r="S371"/>
      <c r="T371"/>
      <c r="U371"/>
      <c r="V371"/>
      <c r="W371"/>
      <c r="X371"/>
      <c r="Y371"/>
      <c r="Z371" s="12"/>
      <c r="AA371" s="12"/>
      <c r="AB371" s="12"/>
      <c r="AC371" s="12"/>
      <c r="AD371" s="12"/>
      <c r="AE371" s="12"/>
      <c r="AF371" s="12"/>
      <c r="AG371" s="12"/>
      <c r="AH371" s="12"/>
      <c r="AI371" s="12"/>
    </row>
    <row r="372" spans="1:35" s="10" customFormat="1" x14ac:dyDescent="0.35">
      <c r="A372" s="12"/>
      <c r="B372" s="12"/>
      <c r="C372" s="12"/>
      <c r="D372"/>
      <c r="E372"/>
      <c r="F372"/>
      <c r="G372"/>
      <c r="H372"/>
      <c r="I372"/>
      <c r="J372"/>
      <c r="K372"/>
      <c r="L372"/>
      <c r="M372"/>
      <c r="N372"/>
      <c r="O372"/>
      <c r="P372"/>
      <c r="Q372"/>
      <c r="R372"/>
      <c r="S372"/>
      <c r="T372"/>
      <c r="U372"/>
      <c r="V372"/>
      <c r="W372"/>
      <c r="X372"/>
      <c r="Y372"/>
      <c r="Z372" s="12"/>
      <c r="AA372" s="12"/>
      <c r="AB372" s="12"/>
      <c r="AC372" s="12"/>
      <c r="AD372" s="12"/>
      <c r="AE372" s="12"/>
      <c r="AF372" s="12"/>
      <c r="AG372" s="12"/>
      <c r="AH372" s="12"/>
      <c r="AI372" s="12"/>
    </row>
    <row r="373" spans="1:35" s="10" customFormat="1" x14ac:dyDescent="0.35">
      <c r="A373" s="12"/>
      <c r="B373" s="12"/>
      <c r="C373" s="12"/>
      <c r="D373"/>
      <c r="E373"/>
      <c r="F373"/>
      <c r="G373"/>
      <c r="H373"/>
      <c r="I373"/>
      <c r="J373"/>
      <c r="K373"/>
      <c r="L373"/>
      <c r="M373"/>
      <c r="N373"/>
      <c r="O373"/>
      <c r="P373"/>
      <c r="Q373"/>
      <c r="R373"/>
      <c r="S373"/>
      <c r="T373"/>
      <c r="U373"/>
      <c r="V373"/>
      <c r="W373"/>
      <c r="X373"/>
      <c r="Y373"/>
      <c r="Z373" s="12"/>
      <c r="AA373" s="12"/>
      <c r="AB373" s="12"/>
      <c r="AC373" s="12"/>
      <c r="AD373" s="12"/>
      <c r="AE373" s="12"/>
      <c r="AF373" s="12"/>
      <c r="AG373" s="12"/>
      <c r="AH373" s="12"/>
      <c r="AI373" s="12"/>
    </row>
    <row r="374" spans="1:35" s="10" customFormat="1" x14ac:dyDescent="0.35">
      <c r="A374" s="12"/>
      <c r="B374" s="12"/>
      <c r="C374" s="12"/>
      <c r="D374"/>
      <c r="E374"/>
      <c r="F374"/>
      <c r="G374"/>
      <c r="H374"/>
      <c r="I374"/>
      <c r="J374"/>
      <c r="K374"/>
      <c r="L374"/>
      <c r="M374"/>
      <c r="N374"/>
      <c r="O374"/>
      <c r="P374"/>
      <c r="Q374"/>
      <c r="R374"/>
      <c r="S374"/>
      <c r="T374"/>
      <c r="U374"/>
      <c r="V374"/>
      <c r="W374"/>
      <c r="X374"/>
      <c r="Y374"/>
      <c r="Z374" s="12"/>
      <c r="AA374" s="12"/>
      <c r="AB374" s="12"/>
      <c r="AC374" s="12"/>
      <c r="AD374" s="12"/>
      <c r="AE374" s="12"/>
      <c r="AF374" s="12"/>
      <c r="AG374" s="12"/>
      <c r="AH374" s="12"/>
      <c r="AI374" s="12"/>
    </row>
    <row r="375" spans="1:35" s="10" customFormat="1" x14ac:dyDescent="0.35">
      <c r="A375" s="12"/>
      <c r="B375" s="12"/>
      <c r="C375" s="12"/>
      <c r="D375"/>
      <c r="E375"/>
      <c r="F375"/>
      <c r="G375"/>
      <c r="H375"/>
      <c r="I375"/>
      <c r="J375"/>
      <c r="K375"/>
      <c r="L375"/>
      <c r="M375"/>
      <c r="N375"/>
      <c r="O375"/>
      <c r="P375"/>
      <c r="Q375"/>
      <c r="R375"/>
      <c r="S375"/>
      <c r="T375"/>
      <c r="U375"/>
      <c r="V375"/>
      <c r="W375"/>
      <c r="X375"/>
      <c r="Y375"/>
      <c r="Z375" s="12"/>
      <c r="AA375" s="12"/>
      <c r="AB375" s="12"/>
      <c r="AC375" s="12"/>
      <c r="AD375" s="12"/>
      <c r="AE375" s="12"/>
      <c r="AF375" s="12"/>
      <c r="AG375" s="12"/>
      <c r="AH375" s="12"/>
      <c r="AI375" s="12"/>
    </row>
    <row r="376" spans="1:35" s="10" customFormat="1" x14ac:dyDescent="0.35">
      <c r="A376" s="12"/>
      <c r="B376" s="12"/>
      <c r="C376" s="12"/>
      <c r="D376"/>
      <c r="E376"/>
      <c r="F376"/>
      <c r="G376"/>
      <c r="H376"/>
      <c r="I376"/>
      <c r="J376"/>
      <c r="K376"/>
      <c r="L376"/>
      <c r="M376"/>
      <c r="N376"/>
      <c r="O376"/>
      <c r="P376"/>
      <c r="Q376"/>
      <c r="R376"/>
      <c r="S376"/>
      <c r="T376"/>
      <c r="U376"/>
      <c r="V376"/>
      <c r="W376"/>
      <c r="X376"/>
      <c r="Y376"/>
      <c r="Z376" s="12"/>
      <c r="AA376" s="12"/>
      <c r="AB376" s="12"/>
      <c r="AC376" s="12"/>
      <c r="AD376" s="12"/>
      <c r="AE376" s="12"/>
      <c r="AF376" s="12"/>
      <c r="AG376" s="12"/>
      <c r="AH376" s="12"/>
      <c r="AI376" s="12"/>
    </row>
    <row r="377" spans="1:35" s="10" customFormat="1" x14ac:dyDescent="0.35">
      <c r="A377" s="12"/>
      <c r="B377" s="12"/>
      <c r="C377" s="12"/>
      <c r="D377"/>
      <c r="E377"/>
      <c r="F377"/>
      <c r="G377"/>
      <c r="H377"/>
      <c r="I377"/>
      <c r="J377"/>
      <c r="K377"/>
      <c r="L377"/>
      <c r="M377"/>
      <c r="N377"/>
      <c r="O377"/>
      <c r="P377"/>
      <c r="Q377"/>
      <c r="R377"/>
      <c r="S377"/>
      <c r="T377"/>
      <c r="U377"/>
      <c r="V377"/>
      <c r="W377"/>
      <c r="X377"/>
      <c r="Y377"/>
      <c r="Z377" s="12"/>
      <c r="AA377" s="12"/>
      <c r="AB377" s="12"/>
      <c r="AC377" s="12"/>
      <c r="AD377" s="12"/>
      <c r="AE377" s="12"/>
      <c r="AF377" s="12"/>
      <c r="AG377" s="12"/>
      <c r="AH377" s="12"/>
      <c r="AI377" s="12"/>
    </row>
    <row r="378" spans="1:35" s="10" customFormat="1" x14ac:dyDescent="0.35">
      <c r="A378" s="12"/>
      <c r="B378" s="12"/>
      <c r="C378" s="12"/>
      <c r="D378"/>
      <c r="E378"/>
      <c r="F378"/>
      <c r="G378"/>
      <c r="H378"/>
      <c r="I378"/>
      <c r="J378"/>
      <c r="K378"/>
      <c r="L378"/>
      <c r="M378"/>
      <c r="N378"/>
      <c r="O378"/>
      <c r="P378"/>
      <c r="Q378"/>
      <c r="R378"/>
      <c r="S378"/>
      <c r="T378"/>
      <c r="U378"/>
      <c r="V378"/>
      <c r="W378"/>
      <c r="X378"/>
      <c r="Y378"/>
      <c r="Z378" s="12"/>
      <c r="AA378" s="12"/>
      <c r="AB378" s="12"/>
      <c r="AC378" s="12"/>
      <c r="AD378" s="12"/>
      <c r="AE378" s="12"/>
      <c r="AF378" s="12"/>
      <c r="AG378" s="12"/>
      <c r="AH378" s="12"/>
      <c r="AI378" s="12"/>
    </row>
    <row r="379" spans="1:35" s="10" customFormat="1" x14ac:dyDescent="0.35">
      <c r="A379" s="12"/>
      <c r="B379" s="12"/>
      <c r="C379" s="12"/>
      <c r="D379"/>
      <c r="E379"/>
      <c r="F379"/>
      <c r="G379"/>
      <c r="H379"/>
      <c r="I379"/>
      <c r="J379"/>
      <c r="K379"/>
      <c r="L379"/>
      <c r="M379"/>
      <c r="N379"/>
      <c r="O379"/>
      <c r="P379"/>
      <c r="Q379"/>
      <c r="R379"/>
      <c r="S379"/>
      <c r="T379"/>
      <c r="U379"/>
      <c r="V379"/>
      <c r="W379"/>
      <c r="X379"/>
      <c r="Y379"/>
      <c r="Z379" s="12"/>
      <c r="AA379" s="12"/>
      <c r="AB379" s="12"/>
      <c r="AC379" s="12"/>
      <c r="AD379" s="12"/>
      <c r="AE379" s="12"/>
      <c r="AF379" s="12"/>
      <c r="AG379" s="12"/>
      <c r="AH379" s="12"/>
      <c r="AI379" s="12"/>
    </row>
    <row r="380" spans="1:35" s="10" customFormat="1" x14ac:dyDescent="0.35">
      <c r="A380" s="12"/>
      <c r="B380" s="12"/>
      <c r="C380" s="12"/>
      <c r="D380"/>
      <c r="E380"/>
      <c r="F380"/>
      <c r="G380"/>
      <c r="H380"/>
      <c r="I380"/>
      <c r="J380"/>
      <c r="K380"/>
      <c r="L380"/>
      <c r="M380"/>
      <c r="N380"/>
      <c r="O380"/>
      <c r="P380"/>
      <c r="Q380"/>
      <c r="R380"/>
      <c r="S380"/>
      <c r="T380"/>
      <c r="U380"/>
      <c r="V380"/>
      <c r="W380"/>
      <c r="X380"/>
      <c r="Y380"/>
      <c r="Z380" s="12"/>
      <c r="AA380" s="12"/>
      <c r="AB380" s="12"/>
      <c r="AC380" s="12"/>
      <c r="AD380" s="12"/>
      <c r="AE380" s="12"/>
      <c r="AF380" s="12"/>
      <c r="AG380" s="12"/>
      <c r="AH380" s="12"/>
      <c r="AI380" s="12"/>
    </row>
    <row r="381" spans="1:35" s="10" customFormat="1" x14ac:dyDescent="0.35">
      <c r="A381" s="12"/>
      <c r="B381" s="12"/>
      <c r="C381" s="12"/>
      <c r="D381"/>
      <c r="E381"/>
      <c r="F381"/>
      <c r="G381"/>
      <c r="H381"/>
      <c r="I381"/>
      <c r="J381"/>
      <c r="K381"/>
      <c r="L381"/>
      <c r="M381"/>
      <c r="N381"/>
      <c r="O381"/>
      <c r="P381"/>
      <c r="Q381"/>
      <c r="R381"/>
      <c r="S381"/>
      <c r="T381"/>
      <c r="U381"/>
      <c r="V381"/>
      <c r="W381"/>
      <c r="X381"/>
      <c r="Y381"/>
      <c r="Z381" s="12"/>
      <c r="AA381" s="12"/>
      <c r="AB381" s="12"/>
      <c r="AC381" s="12"/>
      <c r="AD381" s="12"/>
      <c r="AE381" s="12"/>
      <c r="AF381" s="12"/>
      <c r="AG381" s="12"/>
      <c r="AH381" s="12"/>
      <c r="AI381" s="12"/>
    </row>
    <row r="382" spans="1:35" s="10" customFormat="1" x14ac:dyDescent="0.35">
      <c r="A382" s="12"/>
      <c r="B382" s="12"/>
      <c r="C382" s="12"/>
      <c r="D382"/>
      <c r="E382"/>
      <c r="F382"/>
      <c r="G382"/>
      <c r="H382"/>
      <c r="I382"/>
      <c r="J382"/>
      <c r="K382"/>
      <c r="L382"/>
      <c r="M382"/>
      <c r="N382"/>
      <c r="O382"/>
      <c r="P382"/>
      <c r="Q382"/>
      <c r="R382"/>
      <c r="S382"/>
      <c r="T382"/>
      <c r="U382"/>
      <c r="V382"/>
      <c r="W382"/>
      <c r="X382"/>
      <c r="Y382"/>
      <c r="Z382" s="12"/>
      <c r="AA382" s="12"/>
      <c r="AB382" s="12"/>
      <c r="AC382" s="12"/>
      <c r="AD382" s="12"/>
      <c r="AE382" s="12"/>
      <c r="AF382" s="12"/>
      <c r="AG382" s="12"/>
      <c r="AH382" s="12"/>
      <c r="AI382" s="12"/>
    </row>
    <row r="383" spans="1:35" s="10" customFormat="1" x14ac:dyDescent="0.35">
      <c r="A383" s="12"/>
      <c r="B383" s="12"/>
      <c r="C383" s="12"/>
      <c r="D383"/>
      <c r="E383"/>
      <c r="F383"/>
      <c r="G383"/>
      <c r="H383"/>
      <c r="I383"/>
      <c r="J383"/>
      <c r="K383"/>
      <c r="L383"/>
      <c r="M383"/>
      <c r="N383"/>
      <c r="O383"/>
      <c r="P383"/>
      <c r="Q383"/>
      <c r="R383"/>
      <c r="S383"/>
      <c r="T383"/>
      <c r="U383"/>
      <c r="V383"/>
      <c r="W383"/>
      <c r="X383"/>
      <c r="Y383"/>
      <c r="Z383" s="12"/>
      <c r="AA383" s="12"/>
      <c r="AB383" s="12"/>
      <c r="AC383" s="12"/>
      <c r="AD383" s="12"/>
      <c r="AE383" s="12"/>
      <c r="AF383" s="12"/>
      <c r="AG383" s="12"/>
      <c r="AH383" s="12"/>
      <c r="AI383" s="12"/>
    </row>
    <row r="384" spans="1:35" s="10" customFormat="1" x14ac:dyDescent="0.35">
      <c r="A384" s="12"/>
      <c r="B384" s="12"/>
      <c r="C384" s="12"/>
      <c r="D384"/>
      <c r="E384"/>
      <c r="F384"/>
      <c r="G384"/>
      <c r="H384"/>
      <c r="I384"/>
      <c r="J384"/>
      <c r="K384"/>
      <c r="L384"/>
      <c r="M384"/>
      <c r="N384"/>
      <c r="O384"/>
      <c r="P384"/>
      <c r="Q384"/>
      <c r="R384"/>
      <c r="S384"/>
      <c r="T384"/>
      <c r="U384"/>
      <c r="V384"/>
      <c r="W384"/>
      <c r="X384"/>
      <c r="Y384"/>
      <c r="Z384" s="12"/>
      <c r="AA384" s="12"/>
      <c r="AB384" s="12"/>
      <c r="AC384" s="12"/>
      <c r="AD384" s="12"/>
      <c r="AE384" s="12"/>
      <c r="AF384" s="12"/>
      <c r="AG384" s="12"/>
      <c r="AH384" s="12"/>
      <c r="AI384" s="12"/>
    </row>
    <row r="385" spans="1:35" s="10" customFormat="1" x14ac:dyDescent="0.35">
      <c r="A385" s="12"/>
      <c r="B385" s="12"/>
      <c r="C385" s="12"/>
      <c r="D385"/>
      <c r="E385"/>
      <c r="F385"/>
      <c r="G385"/>
      <c r="H385"/>
      <c r="I385"/>
      <c r="J385"/>
      <c r="K385"/>
      <c r="L385"/>
      <c r="M385"/>
      <c r="N385"/>
      <c r="O385"/>
      <c r="P385"/>
      <c r="Q385"/>
      <c r="R385"/>
      <c r="S385"/>
      <c r="T385"/>
      <c r="U385"/>
      <c r="V385"/>
      <c r="W385"/>
      <c r="X385"/>
      <c r="Y385"/>
      <c r="Z385" s="12"/>
      <c r="AA385" s="12"/>
      <c r="AB385" s="12"/>
      <c r="AC385" s="12"/>
      <c r="AD385" s="12"/>
      <c r="AE385" s="12"/>
      <c r="AF385" s="12"/>
      <c r="AG385" s="12"/>
      <c r="AH385" s="12"/>
      <c r="AI385" s="12"/>
    </row>
    <row r="386" spans="1:35" s="10" customFormat="1" x14ac:dyDescent="0.35">
      <c r="A386" s="12"/>
      <c r="B386" s="12"/>
      <c r="C386" s="12"/>
      <c r="D386"/>
      <c r="E386"/>
      <c r="F386"/>
      <c r="G386"/>
      <c r="H386"/>
      <c r="I386"/>
      <c r="J386"/>
      <c r="K386"/>
      <c r="L386"/>
      <c r="M386"/>
      <c r="N386"/>
      <c r="O386"/>
      <c r="P386"/>
      <c r="Q386"/>
      <c r="R386"/>
      <c r="S386"/>
      <c r="T386"/>
      <c r="U386"/>
      <c r="V386"/>
      <c r="W386"/>
      <c r="X386"/>
      <c r="Y386"/>
      <c r="Z386" s="12"/>
      <c r="AA386" s="12"/>
      <c r="AB386" s="12"/>
      <c r="AC386" s="12"/>
      <c r="AD386" s="12"/>
      <c r="AE386" s="12"/>
      <c r="AF386" s="12"/>
      <c r="AG386" s="12"/>
      <c r="AH386" s="12"/>
      <c r="AI386" s="12"/>
    </row>
    <row r="387" spans="1:35" s="10" customFormat="1" x14ac:dyDescent="0.35">
      <c r="A387" s="12"/>
      <c r="B387" s="12"/>
      <c r="C387" s="12"/>
      <c r="D387"/>
      <c r="E387"/>
      <c r="F387"/>
      <c r="G387"/>
      <c r="H387"/>
      <c r="I387"/>
      <c r="J387"/>
      <c r="K387"/>
      <c r="L387"/>
      <c r="M387"/>
      <c r="N387"/>
      <c r="O387"/>
      <c r="P387"/>
      <c r="Q387"/>
      <c r="R387"/>
      <c r="S387"/>
      <c r="T387"/>
      <c r="U387"/>
      <c r="V387"/>
      <c r="W387"/>
      <c r="X387"/>
      <c r="Y387"/>
      <c r="Z387" s="12"/>
      <c r="AA387" s="12"/>
      <c r="AB387" s="12"/>
      <c r="AC387" s="12"/>
      <c r="AD387" s="12"/>
      <c r="AE387" s="12"/>
      <c r="AF387" s="12"/>
      <c r="AG387" s="12"/>
      <c r="AH387" s="12"/>
      <c r="AI387" s="12"/>
    </row>
    <row r="388" spans="1:35" s="10" customFormat="1" x14ac:dyDescent="0.35">
      <c r="A388" s="12"/>
      <c r="B388" s="12"/>
      <c r="C388" s="12"/>
      <c r="D388"/>
      <c r="E388"/>
      <c r="F388"/>
      <c r="G388"/>
      <c r="H388"/>
      <c r="I388"/>
      <c r="J388"/>
      <c r="K388"/>
      <c r="L388"/>
      <c r="M388"/>
      <c r="N388"/>
      <c r="O388"/>
      <c r="P388"/>
      <c r="Q388"/>
      <c r="R388"/>
      <c r="S388"/>
      <c r="T388"/>
      <c r="U388"/>
      <c r="V388"/>
      <c r="W388"/>
      <c r="X388"/>
      <c r="Y388"/>
      <c r="Z388" s="12"/>
      <c r="AA388" s="12"/>
      <c r="AB388" s="12"/>
      <c r="AC388" s="12"/>
      <c r="AD388" s="12"/>
      <c r="AE388" s="12"/>
      <c r="AF388" s="12"/>
      <c r="AG388" s="12"/>
      <c r="AH388" s="12"/>
      <c r="AI388" s="12"/>
    </row>
    <row r="389" spans="1:35" s="10" customFormat="1" x14ac:dyDescent="0.35">
      <c r="A389" s="12"/>
      <c r="B389" s="12"/>
      <c r="C389" s="12"/>
      <c r="D389"/>
      <c r="E389"/>
      <c r="F389"/>
      <c r="G389"/>
      <c r="H389"/>
      <c r="I389"/>
      <c r="J389"/>
      <c r="K389"/>
      <c r="L389"/>
      <c r="M389"/>
      <c r="N389"/>
      <c r="O389"/>
      <c r="P389"/>
      <c r="Q389"/>
      <c r="R389"/>
      <c r="S389"/>
      <c r="T389"/>
      <c r="U389"/>
      <c r="V389"/>
      <c r="W389"/>
      <c r="X389"/>
      <c r="Y389"/>
      <c r="Z389" s="12"/>
      <c r="AA389" s="12"/>
      <c r="AB389" s="12"/>
      <c r="AC389" s="12"/>
      <c r="AD389" s="12"/>
      <c r="AE389" s="12"/>
      <c r="AF389" s="12"/>
      <c r="AG389" s="12"/>
      <c r="AH389" s="12"/>
      <c r="AI389" s="12"/>
    </row>
    <row r="390" spans="1:35" s="10" customFormat="1" x14ac:dyDescent="0.35">
      <c r="A390" s="12"/>
      <c r="B390" s="12"/>
      <c r="C390" s="12"/>
      <c r="D390"/>
      <c r="E390"/>
      <c r="F390"/>
      <c r="G390"/>
      <c r="H390"/>
      <c r="I390"/>
      <c r="J390"/>
      <c r="K390"/>
      <c r="L390"/>
      <c r="M390"/>
      <c r="N390"/>
      <c r="O390"/>
      <c r="P390"/>
      <c r="Q390"/>
      <c r="R390"/>
      <c r="S390"/>
      <c r="T390"/>
      <c r="U390"/>
      <c r="V390"/>
      <c r="W390"/>
      <c r="X390"/>
      <c r="Y390"/>
      <c r="Z390" s="12"/>
      <c r="AA390" s="12"/>
      <c r="AB390" s="12"/>
      <c r="AC390" s="12"/>
      <c r="AD390" s="12"/>
      <c r="AE390" s="12"/>
      <c r="AF390" s="12"/>
      <c r="AG390" s="12"/>
      <c r="AH390" s="12"/>
      <c r="AI390" s="12"/>
    </row>
    <row r="391" spans="1:35" s="10" customFormat="1" x14ac:dyDescent="0.35">
      <c r="A391" s="12"/>
      <c r="B391" s="12"/>
      <c r="C391" s="12"/>
      <c r="D391"/>
      <c r="E391"/>
      <c r="F391"/>
      <c r="G391"/>
      <c r="H391"/>
      <c r="I391"/>
      <c r="J391"/>
      <c r="K391"/>
      <c r="L391"/>
      <c r="M391"/>
      <c r="N391"/>
      <c r="O391"/>
      <c r="P391"/>
      <c r="Q391"/>
      <c r="R391"/>
      <c r="S391"/>
      <c r="T391"/>
      <c r="U391"/>
      <c r="V391"/>
      <c r="W391"/>
      <c r="X391"/>
      <c r="Y391"/>
      <c r="Z391" s="12"/>
      <c r="AA391" s="12"/>
      <c r="AB391" s="12"/>
      <c r="AC391" s="12"/>
      <c r="AD391" s="12"/>
      <c r="AE391" s="12"/>
      <c r="AF391" s="12"/>
      <c r="AG391" s="12"/>
      <c r="AH391" s="12"/>
      <c r="AI391" s="12"/>
    </row>
    <row r="392" spans="1:35" s="10" customFormat="1" x14ac:dyDescent="0.35">
      <c r="A392" s="12"/>
      <c r="B392" s="12"/>
      <c r="C392" s="12"/>
      <c r="D392"/>
      <c r="E392"/>
      <c r="F392"/>
      <c r="G392"/>
      <c r="H392"/>
      <c r="I392"/>
      <c r="J392"/>
      <c r="K392"/>
      <c r="L392"/>
      <c r="M392"/>
      <c r="N392"/>
      <c r="O392"/>
      <c r="P392"/>
      <c r="Q392"/>
      <c r="R392"/>
      <c r="S392"/>
      <c r="T392"/>
      <c r="U392"/>
      <c r="V392"/>
      <c r="W392"/>
      <c r="X392"/>
      <c r="Y392"/>
      <c r="Z392" s="12"/>
      <c r="AA392" s="12"/>
      <c r="AB392" s="12"/>
      <c r="AC392" s="12"/>
      <c r="AD392" s="12"/>
      <c r="AE392" s="12"/>
      <c r="AF392" s="12"/>
      <c r="AG392" s="12"/>
      <c r="AH392" s="12"/>
      <c r="AI392" s="12"/>
    </row>
    <row r="393" spans="1:35" s="10" customFormat="1" x14ac:dyDescent="0.35">
      <c r="A393" s="12"/>
      <c r="B393" s="12"/>
      <c r="C393" s="12"/>
      <c r="D393"/>
      <c r="E393"/>
      <c r="F393"/>
      <c r="G393"/>
      <c r="H393"/>
      <c r="I393"/>
      <c r="J393"/>
      <c r="K393"/>
      <c r="L393"/>
      <c r="M393"/>
      <c r="N393"/>
      <c r="O393"/>
      <c r="P393"/>
      <c r="Q393"/>
      <c r="R393"/>
      <c r="S393"/>
      <c r="T393"/>
      <c r="U393"/>
      <c r="V393"/>
      <c r="W393"/>
      <c r="X393"/>
      <c r="Y393"/>
      <c r="Z393" s="12"/>
      <c r="AA393" s="12"/>
      <c r="AB393" s="12"/>
      <c r="AC393" s="12"/>
      <c r="AD393" s="12"/>
      <c r="AE393" s="12"/>
      <c r="AF393" s="12"/>
      <c r="AG393" s="12"/>
      <c r="AH393" s="12"/>
      <c r="AI393" s="12"/>
    </row>
    <row r="394" spans="1:35" s="10" customFormat="1" x14ac:dyDescent="0.35">
      <c r="A394" s="12"/>
      <c r="B394" s="12"/>
      <c r="C394" s="12"/>
      <c r="D394"/>
      <c r="E394"/>
      <c r="F394"/>
      <c r="G394"/>
      <c r="H394"/>
      <c r="I394"/>
      <c r="J394"/>
      <c r="K394"/>
      <c r="L394"/>
      <c r="M394"/>
      <c r="N394"/>
      <c r="O394"/>
      <c r="P394"/>
      <c r="Q394"/>
      <c r="R394"/>
      <c r="S394"/>
      <c r="T394"/>
      <c r="U394"/>
      <c r="V394"/>
      <c r="W394"/>
      <c r="X394"/>
      <c r="Y394"/>
      <c r="Z394" s="12"/>
      <c r="AA394" s="12"/>
      <c r="AB394" s="12"/>
      <c r="AC394" s="12"/>
      <c r="AD394" s="12"/>
      <c r="AE394" s="12"/>
      <c r="AF394" s="12"/>
      <c r="AG394" s="12"/>
      <c r="AH394" s="12"/>
      <c r="AI394" s="12"/>
    </row>
    <row r="395" spans="1:35" s="10" customFormat="1" x14ac:dyDescent="0.35">
      <c r="A395" s="12"/>
      <c r="B395" s="12"/>
      <c r="C395" s="12"/>
      <c r="D395"/>
      <c r="E395"/>
      <c r="F395"/>
      <c r="G395"/>
      <c r="H395"/>
      <c r="I395"/>
      <c r="J395"/>
      <c r="K395"/>
      <c r="L395"/>
      <c r="M395"/>
      <c r="N395"/>
      <c r="O395"/>
      <c r="P395"/>
      <c r="Q395"/>
      <c r="R395"/>
      <c r="S395"/>
      <c r="T395"/>
      <c r="U395"/>
      <c r="V395"/>
      <c r="W395"/>
      <c r="X395"/>
      <c r="Y395"/>
      <c r="Z395" s="12"/>
      <c r="AA395" s="12"/>
      <c r="AB395" s="12"/>
      <c r="AC395" s="12"/>
      <c r="AD395" s="12"/>
      <c r="AE395" s="12"/>
      <c r="AF395" s="12"/>
      <c r="AG395" s="12"/>
      <c r="AH395" s="12"/>
      <c r="AI395" s="12"/>
    </row>
    <row r="396" spans="1:35" s="10" customFormat="1" x14ac:dyDescent="0.35">
      <c r="A396" s="12"/>
      <c r="B396" s="12"/>
      <c r="C396" s="12"/>
      <c r="D396"/>
      <c r="E396"/>
      <c r="F396"/>
      <c r="G396"/>
      <c r="H396"/>
      <c r="I396"/>
      <c r="J396"/>
      <c r="K396"/>
      <c r="L396"/>
      <c r="M396"/>
      <c r="N396"/>
      <c r="O396"/>
      <c r="P396"/>
      <c r="Q396"/>
      <c r="R396"/>
      <c r="S396"/>
      <c r="T396"/>
      <c r="U396"/>
      <c r="V396"/>
      <c r="W396"/>
      <c r="X396"/>
      <c r="Y396"/>
      <c r="Z396" s="12"/>
      <c r="AA396" s="12"/>
      <c r="AB396" s="12"/>
      <c r="AC396" s="12"/>
      <c r="AD396" s="12"/>
      <c r="AE396" s="12"/>
      <c r="AF396" s="12"/>
      <c r="AG396" s="12"/>
      <c r="AH396" s="12"/>
      <c r="AI396" s="12"/>
    </row>
    <row r="397" spans="1:35" s="10" customFormat="1" x14ac:dyDescent="0.35">
      <c r="A397" s="12"/>
      <c r="B397" s="12"/>
      <c r="C397" s="12"/>
      <c r="D397"/>
      <c r="E397"/>
      <c r="F397"/>
      <c r="G397"/>
      <c r="H397"/>
      <c r="I397"/>
      <c r="J397"/>
      <c r="K397"/>
      <c r="L397"/>
      <c r="M397"/>
      <c r="N397"/>
      <c r="O397"/>
      <c r="P397"/>
      <c r="Q397"/>
      <c r="R397"/>
      <c r="S397"/>
      <c r="T397"/>
      <c r="U397"/>
      <c r="V397"/>
      <c r="W397"/>
      <c r="X397"/>
      <c r="Y397"/>
      <c r="Z397" s="12"/>
      <c r="AA397" s="12"/>
      <c r="AB397" s="12"/>
      <c r="AC397" s="12"/>
      <c r="AD397" s="12"/>
      <c r="AE397" s="12"/>
      <c r="AF397" s="12"/>
      <c r="AG397" s="12"/>
      <c r="AH397" s="12"/>
      <c r="AI397" s="12"/>
    </row>
    <row r="398" spans="1:35" s="10" customFormat="1" x14ac:dyDescent="0.35">
      <c r="A398" s="12"/>
      <c r="B398" s="12"/>
      <c r="C398" s="12"/>
      <c r="D398"/>
      <c r="E398"/>
      <c r="F398"/>
      <c r="G398"/>
      <c r="H398"/>
      <c r="I398"/>
      <c r="J398"/>
      <c r="K398"/>
      <c r="L398"/>
      <c r="M398"/>
      <c r="N398"/>
      <c r="O398"/>
      <c r="P398"/>
      <c r="Q398"/>
      <c r="R398"/>
      <c r="S398"/>
      <c r="T398"/>
      <c r="U398"/>
      <c r="V398"/>
      <c r="W398"/>
      <c r="X398"/>
      <c r="Y398"/>
      <c r="Z398" s="12"/>
      <c r="AA398" s="12"/>
      <c r="AB398" s="12"/>
      <c r="AC398" s="12"/>
      <c r="AD398" s="12"/>
      <c r="AE398" s="12"/>
      <c r="AF398" s="12"/>
      <c r="AG398" s="12"/>
      <c r="AH398" s="12"/>
      <c r="AI398" s="12"/>
    </row>
    <row r="399" spans="1:35" s="10" customFormat="1" x14ac:dyDescent="0.35">
      <c r="A399" s="12"/>
      <c r="B399" s="12"/>
      <c r="C399" s="12"/>
      <c r="D399"/>
      <c r="E399"/>
      <c r="F399"/>
      <c r="G399"/>
      <c r="H399"/>
      <c r="I399"/>
      <c r="J399"/>
      <c r="K399"/>
      <c r="L399"/>
      <c r="M399"/>
      <c r="N399"/>
      <c r="O399"/>
      <c r="P399"/>
      <c r="Q399"/>
      <c r="R399"/>
      <c r="S399"/>
      <c r="T399"/>
      <c r="U399"/>
      <c r="V399"/>
      <c r="W399"/>
      <c r="X399"/>
      <c r="Y399"/>
      <c r="Z399" s="12"/>
      <c r="AA399" s="12"/>
      <c r="AB399" s="12"/>
      <c r="AC399" s="12"/>
      <c r="AD399" s="12"/>
      <c r="AE399" s="12"/>
      <c r="AF399" s="12"/>
      <c r="AG399" s="12"/>
      <c r="AH399" s="12"/>
      <c r="AI399" s="12"/>
    </row>
    <row r="400" spans="1:35" s="10" customFormat="1" x14ac:dyDescent="0.35">
      <c r="A400" s="12"/>
      <c r="B400" s="12"/>
      <c r="C400" s="12"/>
      <c r="D400"/>
      <c r="E400"/>
      <c r="F400"/>
      <c r="G400"/>
      <c r="H400"/>
      <c r="I400"/>
      <c r="J400"/>
      <c r="K400"/>
      <c r="L400"/>
      <c r="M400"/>
      <c r="N400"/>
      <c r="O400"/>
      <c r="P400"/>
      <c r="Q400"/>
      <c r="R400"/>
      <c r="S400"/>
      <c r="T400"/>
      <c r="U400"/>
      <c r="V400"/>
      <c r="W400"/>
      <c r="X400"/>
      <c r="Y400"/>
      <c r="Z400" s="12"/>
      <c r="AA400" s="12"/>
      <c r="AB400" s="12"/>
      <c r="AC400" s="12"/>
      <c r="AD400" s="12"/>
      <c r="AE400" s="12"/>
      <c r="AF400" s="12"/>
      <c r="AG400" s="12"/>
      <c r="AH400" s="12"/>
      <c r="AI400" s="12"/>
    </row>
    <row r="401" spans="1:35" s="10" customFormat="1" x14ac:dyDescent="0.35">
      <c r="A401" s="12"/>
      <c r="B401" s="12"/>
      <c r="C401" s="12"/>
      <c r="D401"/>
      <c r="E401"/>
      <c r="F401"/>
      <c r="G401"/>
      <c r="H401"/>
      <c r="I401"/>
      <c r="J401"/>
      <c r="K401"/>
      <c r="L401"/>
      <c r="M401"/>
      <c r="N401"/>
      <c r="O401"/>
      <c r="P401"/>
      <c r="Q401"/>
      <c r="R401"/>
      <c r="S401"/>
      <c r="T401"/>
      <c r="U401"/>
      <c r="V401"/>
      <c r="W401"/>
      <c r="X401"/>
      <c r="Y401"/>
      <c r="Z401" s="12"/>
      <c r="AA401" s="12"/>
      <c r="AB401" s="12"/>
      <c r="AC401" s="12"/>
      <c r="AD401" s="12"/>
      <c r="AE401" s="12"/>
      <c r="AF401" s="12"/>
      <c r="AG401" s="12"/>
      <c r="AH401" s="12"/>
      <c r="AI401" s="12"/>
    </row>
    <row r="402" spans="1:35" s="10" customFormat="1" x14ac:dyDescent="0.35">
      <c r="A402" s="12"/>
      <c r="B402" s="12"/>
      <c r="C402" s="12"/>
      <c r="D402"/>
      <c r="E402"/>
      <c r="F402"/>
      <c r="G402"/>
      <c r="H402"/>
      <c r="I402"/>
      <c r="J402"/>
      <c r="K402"/>
      <c r="L402"/>
      <c r="M402"/>
      <c r="N402"/>
      <c r="O402"/>
      <c r="P402"/>
      <c r="Q402"/>
      <c r="R402"/>
      <c r="S402"/>
      <c r="T402"/>
      <c r="U402"/>
      <c r="V402"/>
      <c r="W402"/>
      <c r="X402"/>
      <c r="Y402"/>
      <c r="Z402" s="12"/>
      <c r="AA402" s="12"/>
      <c r="AB402" s="12"/>
      <c r="AC402" s="12"/>
      <c r="AD402" s="12"/>
      <c r="AE402" s="12"/>
      <c r="AF402" s="12"/>
      <c r="AG402" s="12"/>
      <c r="AH402" s="12"/>
      <c r="AI402" s="12"/>
    </row>
    <row r="403" spans="1:35" s="10" customFormat="1" x14ac:dyDescent="0.35">
      <c r="A403" s="12"/>
      <c r="B403" s="12"/>
      <c r="C403" s="12"/>
      <c r="D403"/>
      <c r="E403"/>
      <c r="F403"/>
      <c r="G403"/>
      <c r="H403"/>
      <c r="I403"/>
      <c r="J403"/>
      <c r="K403"/>
      <c r="L403"/>
      <c r="M403"/>
      <c r="N403"/>
      <c r="O403"/>
      <c r="P403"/>
      <c r="Q403"/>
      <c r="R403"/>
      <c r="S403"/>
      <c r="T403"/>
      <c r="U403"/>
      <c r="V403"/>
      <c r="W403"/>
      <c r="X403"/>
      <c r="Y403"/>
      <c r="Z403" s="12"/>
      <c r="AA403" s="12"/>
      <c r="AB403" s="12"/>
      <c r="AC403" s="12"/>
      <c r="AD403" s="12"/>
      <c r="AE403" s="12"/>
      <c r="AF403" s="12"/>
      <c r="AG403" s="12"/>
      <c r="AH403" s="12"/>
      <c r="AI403" s="12"/>
    </row>
    <row r="404" spans="1:35" s="10" customFormat="1" x14ac:dyDescent="0.35">
      <c r="A404" s="12"/>
      <c r="B404" s="12"/>
      <c r="C404" s="12"/>
      <c r="D404"/>
      <c r="E404"/>
      <c r="F404"/>
      <c r="G404"/>
      <c r="H404"/>
      <c r="I404"/>
      <c r="J404"/>
      <c r="K404"/>
      <c r="L404"/>
      <c r="M404"/>
      <c r="N404"/>
      <c r="O404"/>
      <c r="P404"/>
      <c r="Q404"/>
      <c r="R404"/>
      <c r="S404"/>
      <c r="T404"/>
      <c r="U404"/>
      <c r="V404"/>
      <c r="W404"/>
      <c r="X404"/>
      <c r="Y404"/>
      <c r="Z404" s="12"/>
      <c r="AA404" s="12"/>
      <c r="AB404" s="12"/>
      <c r="AC404" s="12"/>
      <c r="AD404" s="12"/>
      <c r="AE404" s="12"/>
      <c r="AF404" s="12"/>
      <c r="AG404" s="12"/>
      <c r="AH404" s="12"/>
      <c r="AI404" s="12"/>
    </row>
    <row r="405" spans="1:35" s="10" customFormat="1" x14ac:dyDescent="0.35">
      <c r="A405" s="12"/>
      <c r="B405" s="12"/>
      <c r="C405" s="12"/>
      <c r="D405"/>
      <c r="E405"/>
      <c r="F405"/>
      <c r="G405"/>
      <c r="H405"/>
      <c r="I405"/>
      <c r="J405"/>
      <c r="K405"/>
      <c r="L405"/>
      <c r="M405"/>
      <c r="N405"/>
      <c r="O405"/>
      <c r="P405"/>
      <c r="Q405"/>
      <c r="R405"/>
      <c r="S405"/>
      <c r="T405"/>
      <c r="U405"/>
      <c r="V405"/>
      <c r="W405"/>
      <c r="X405"/>
      <c r="Y405"/>
      <c r="Z405" s="12"/>
      <c r="AA405" s="12"/>
      <c r="AB405" s="12"/>
      <c r="AC405" s="12"/>
      <c r="AD405" s="12"/>
      <c r="AE405" s="12"/>
      <c r="AF405" s="12"/>
      <c r="AG405" s="12"/>
      <c r="AH405" s="12"/>
      <c r="AI405" s="12"/>
    </row>
    <row r="406" spans="1:35" s="10" customFormat="1" x14ac:dyDescent="0.35">
      <c r="A406" s="12"/>
      <c r="B406" s="12"/>
      <c r="C406" s="12"/>
      <c r="D406"/>
      <c r="E406"/>
      <c r="F406"/>
      <c r="G406"/>
      <c r="H406"/>
      <c r="I406"/>
      <c r="J406"/>
      <c r="K406"/>
      <c r="L406"/>
      <c r="M406"/>
      <c r="N406"/>
      <c r="O406"/>
      <c r="P406"/>
      <c r="Q406"/>
      <c r="R406"/>
      <c r="S406"/>
      <c r="T406"/>
      <c r="U406"/>
      <c r="V406"/>
      <c r="W406"/>
      <c r="X406"/>
      <c r="Y406"/>
      <c r="Z406" s="12"/>
      <c r="AA406" s="12"/>
      <c r="AB406" s="12"/>
      <c r="AC406" s="12"/>
      <c r="AD406" s="12"/>
      <c r="AE406" s="12"/>
      <c r="AF406" s="12"/>
      <c r="AG406" s="12"/>
      <c r="AH406" s="12"/>
      <c r="AI406" s="12"/>
    </row>
    <row r="407" spans="1:35" s="10" customFormat="1" x14ac:dyDescent="0.35">
      <c r="A407" s="12"/>
      <c r="B407" s="12"/>
      <c r="C407" s="12"/>
      <c r="D407"/>
      <c r="E407"/>
      <c r="F407"/>
      <c r="G407"/>
      <c r="H407"/>
      <c r="I407"/>
      <c r="J407"/>
      <c r="K407"/>
      <c r="L407"/>
      <c r="M407"/>
      <c r="N407"/>
      <c r="O407"/>
      <c r="P407"/>
      <c r="Q407"/>
      <c r="R407"/>
      <c r="S407"/>
      <c r="T407"/>
      <c r="U407"/>
      <c r="V407"/>
      <c r="W407"/>
      <c r="X407"/>
      <c r="Y407"/>
      <c r="Z407" s="12"/>
      <c r="AA407" s="12"/>
      <c r="AB407" s="12"/>
      <c r="AC407" s="12"/>
      <c r="AD407" s="12"/>
      <c r="AE407" s="12"/>
      <c r="AF407" s="12"/>
      <c r="AG407" s="12"/>
      <c r="AH407" s="12"/>
      <c r="AI407" s="12"/>
    </row>
    <row r="408" spans="1:35" s="10" customFormat="1" x14ac:dyDescent="0.35">
      <c r="A408" s="12"/>
      <c r="B408" s="12"/>
      <c r="C408" s="12"/>
      <c r="D408"/>
      <c r="E408"/>
      <c r="F408"/>
      <c r="G408"/>
      <c r="H408"/>
      <c r="I408"/>
      <c r="J408"/>
      <c r="K408"/>
      <c r="L408"/>
      <c r="M408"/>
      <c r="N408"/>
      <c r="O408"/>
      <c r="P408"/>
      <c r="Q408"/>
      <c r="R408"/>
      <c r="S408"/>
      <c r="T408"/>
      <c r="U408"/>
      <c r="V408"/>
      <c r="W408"/>
      <c r="X408"/>
      <c r="Y408"/>
      <c r="Z408" s="12"/>
      <c r="AA408" s="12"/>
      <c r="AB408" s="12"/>
      <c r="AC408" s="12"/>
      <c r="AD408" s="12"/>
      <c r="AE408" s="12"/>
      <c r="AF408" s="12"/>
      <c r="AG408" s="12"/>
      <c r="AH408" s="12"/>
      <c r="AI408" s="12"/>
    </row>
    <row r="409" spans="1:35" s="10" customFormat="1" x14ac:dyDescent="0.35">
      <c r="A409" s="12"/>
      <c r="B409" s="12"/>
      <c r="C409" s="12"/>
      <c r="D409"/>
      <c r="E409"/>
      <c r="F409"/>
      <c r="G409"/>
      <c r="H409"/>
      <c r="I409"/>
      <c r="J409"/>
      <c r="K409"/>
      <c r="L409"/>
      <c r="M409"/>
      <c r="N409"/>
      <c r="O409"/>
      <c r="P409"/>
      <c r="Q409"/>
      <c r="R409"/>
      <c r="S409"/>
      <c r="T409"/>
      <c r="U409"/>
      <c r="V409"/>
      <c r="W409"/>
      <c r="X409"/>
      <c r="Y409"/>
      <c r="Z409" s="12"/>
      <c r="AA409" s="12"/>
      <c r="AB409" s="12"/>
      <c r="AC409" s="12"/>
      <c r="AD409" s="12"/>
      <c r="AE409" s="12"/>
      <c r="AF409" s="12"/>
      <c r="AG409" s="12"/>
      <c r="AH409" s="12"/>
      <c r="AI409" s="12"/>
    </row>
    <row r="410" spans="1:35" s="10" customFormat="1" x14ac:dyDescent="0.35">
      <c r="A410" s="12"/>
      <c r="B410" s="12"/>
      <c r="C410" s="12"/>
      <c r="D410"/>
      <c r="E410"/>
      <c r="F410"/>
      <c r="G410" s="3"/>
      <c r="H410" s="3"/>
      <c r="I410" s="3"/>
      <c r="J410" s="3"/>
      <c r="K410"/>
      <c r="L410"/>
      <c r="M410"/>
      <c r="N410" s="3"/>
      <c r="O410" s="3"/>
      <c r="P410" s="3"/>
      <c r="Q410" s="3"/>
      <c r="R410" s="3"/>
      <c r="S410"/>
      <c r="T410"/>
      <c r="U410"/>
      <c r="V410"/>
      <c r="W410" s="12"/>
      <c r="X410" s="12"/>
      <c r="Y410" s="12"/>
      <c r="Z410" s="12"/>
      <c r="AA410" s="12"/>
      <c r="AB410" s="12"/>
      <c r="AC410" s="12"/>
      <c r="AD410" s="12"/>
      <c r="AE410" s="12"/>
      <c r="AF410" s="12"/>
      <c r="AG410" s="12"/>
      <c r="AH410" s="12"/>
      <c r="AI410" s="12"/>
    </row>
    <row r="411" spans="1:35" s="10" customFormat="1" x14ac:dyDescent="0.35">
      <c r="A411" s="12"/>
      <c r="B411" s="12"/>
      <c r="C411" s="12"/>
      <c r="D411"/>
      <c r="E411"/>
      <c r="F411"/>
      <c r="G411" s="3"/>
      <c r="H411" s="3"/>
      <c r="I411" s="3"/>
      <c r="J411" s="3"/>
      <c r="K411"/>
      <c r="L411"/>
      <c r="M411"/>
      <c r="N411" s="3"/>
      <c r="O411" s="3"/>
      <c r="P411" s="3"/>
      <c r="Q411" s="3"/>
      <c r="R411" s="3"/>
      <c r="S411"/>
      <c r="T411"/>
      <c r="U411"/>
      <c r="V411"/>
      <c r="W411" s="12"/>
      <c r="X411" s="12"/>
      <c r="Y411" s="12"/>
      <c r="Z411" s="12"/>
      <c r="AA411" s="12"/>
      <c r="AB411" s="12"/>
      <c r="AC411" s="12"/>
      <c r="AD411" s="12"/>
      <c r="AE411" s="12"/>
      <c r="AF411" s="12"/>
      <c r="AG411" s="12"/>
      <c r="AH411" s="12"/>
      <c r="AI411" s="12"/>
    </row>
    <row r="412" spans="1:35" s="10" customFormat="1" x14ac:dyDescent="0.35">
      <c r="A412" s="12"/>
      <c r="B412" s="12"/>
      <c r="C412" s="12"/>
      <c r="D412"/>
      <c r="E412"/>
      <c r="F412"/>
      <c r="G412" s="3"/>
      <c r="H412" s="3"/>
      <c r="I412" s="3"/>
      <c r="J412" s="3"/>
      <c r="K412"/>
      <c r="L412"/>
      <c r="M412"/>
      <c r="N412" s="3"/>
      <c r="O412" s="3"/>
      <c r="P412" s="3"/>
      <c r="Q412" s="3"/>
      <c r="R412" s="3"/>
      <c r="S412"/>
      <c r="T412"/>
      <c r="U412"/>
      <c r="V412"/>
      <c r="W412" s="12"/>
      <c r="X412" s="12"/>
      <c r="Y412" s="12"/>
      <c r="Z412" s="12"/>
      <c r="AA412" s="12"/>
      <c r="AB412" s="12"/>
      <c r="AC412" s="12"/>
      <c r="AD412" s="12"/>
      <c r="AE412" s="12"/>
      <c r="AF412" s="12"/>
      <c r="AG412" s="12"/>
      <c r="AH412" s="12"/>
      <c r="AI412" s="12"/>
    </row>
    <row r="413" spans="1:35" s="10" customFormat="1" x14ac:dyDescent="0.35">
      <c r="A413" s="12"/>
      <c r="B413" s="12"/>
      <c r="C413" s="12"/>
      <c r="D413"/>
      <c r="E413"/>
      <c r="F413"/>
      <c r="G413" s="3"/>
      <c r="H413" s="3"/>
      <c r="I413" s="3"/>
      <c r="J413" s="3"/>
      <c r="K413"/>
      <c r="L413"/>
      <c r="M413"/>
      <c r="N413" s="3"/>
      <c r="O413" s="3"/>
      <c r="P413" s="3"/>
      <c r="Q413" s="3"/>
      <c r="R413" s="3"/>
      <c r="S413"/>
      <c r="T413"/>
      <c r="U413"/>
      <c r="V413"/>
      <c r="W413" s="12"/>
      <c r="X413" s="12"/>
      <c r="Y413" s="12"/>
      <c r="Z413" s="12"/>
      <c r="AA413" s="12"/>
      <c r="AB413" s="12"/>
      <c r="AC413" s="12"/>
      <c r="AD413" s="12"/>
      <c r="AE413" s="12"/>
      <c r="AF413" s="12"/>
      <c r="AG413" s="12"/>
      <c r="AH413" s="12"/>
      <c r="AI413" s="12"/>
    </row>
    <row r="414" spans="1:35" s="10" customFormat="1" x14ac:dyDescent="0.35">
      <c r="A414" s="12"/>
      <c r="B414" s="12"/>
      <c r="C414" s="12"/>
      <c r="D414"/>
      <c r="E414"/>
      <c r="F414"/>
      <c r="G414" s="3"/>
      <c r="H414" s="3"/>
      <c r="I414" s="3"/>
      <c r="J414" s="3"/>
      <c r="K414"/>
      <c r="L414"/>
      <c r="M414"/>
      <c r="N414" s="3"/>
      <c r="O414" s="3"/>
      <c r="P414" s="3"/>
      <c r="Q414" s="3"/>
      <c r="R414" s="3"/>
      <c r="S414"/>
      <c r="T414"/>
      <c r="U414"/>
      <c r="V414"/>
      <c r="W414" s="12"/>
      <c r="X414" s="12"/>
      <c r="Y414" s="12"/>
      <c r="Z414" s="12"/>
      <c r="AA414" s="12"/>
      <c r="AB414" s="12"/>
      <c r="AC414" s="12"/>
      <c r="AD414" s="12"/>
      <c r="AE414" s="12"/>
      <c r="AF414" s="12"/>
      <c r="AG414" s="12"/>
      <c r="AH414" s="12"/>
      <c r="AI414" s="12"/>
    </row>
    <row r="415" spans="1:35" s="10" customFormat="1" x14ac:dyDescent="0.35">
      <c r="A415" s="12"/>
      <c r="B415" s="12"/>
      <c r="C415" s="12"/>
      <c r="D415"/>
      <c r="E415"/>
      <c r="F415"/>
      <c r="G415" s="3"/>
      <c r="H415" s="3"/>
      <c r="I415" s="3"/>
      <c r="J415" s="3"/>
      <c r="K415"/>
      <c r="L415"/>
      <c r="M415"/>
      <c r="N415" s="3"/>
      <c r="O415" s="3"/>
      <c r="P415" s="3"/>
      <c r="Q415" s="3"/>
      <c r="R415" s="3"/>
      <c r="S415"/>
      <c r="T415"/>
      <c r="U415"/>
      <c r="V415"/>
      <c r="W415" s="12"/>
      <c r="X415" s="12"/>
      <c r="Y415" s="12"/>
      <c r="Z415" s="12"/>
      <c r="AA415" s="12"/>
      <c r="AB415" s="12"/>
      <c r="AC415" s="12"/>
      <c r="AD415" s="12"/>
      <c r="AE415" s="12"/>
      <c r="AF415" s="12"/>
      <c r="AG415" s="12"/>
      <c r="AH415" s="12"/>
      <c r="AI415" s="12"/>
    </row>
    <row r="416" spans="1:35" s="10" customFormat="1" x14ac:dyDescent="0.35">
      <c r="A416" s="12"/>
      <c r="B416" s="12"/>
      <c r="C416" s="12"/>
      <c r="D416"/>
      <c r="E416"/>
      <c r="F416"/>
      <c r="G416" s="3"/>
      <c r="H416" s="3"/>
      <c r="I416" s="3"/>
      <c r="J416" s="3"/>
      <c r="K416"/>
      <c r="L416"/>
      <c r="M416"/>
      <c r="N416" s="3"/>
      <c r="O416" s="3"/>
      <c r="P416" s="3"/>
      <c r="Q416" s="3"/>
      <c r="R416" s="3"/>
      <c r="S416"/>
      <c r="T416"/>
      <c r="U416"/>
      <c r="V416"/>
      <c r="W416" s="12"/>
      <c r="X416" s="12"/>
      <c r="Y416" s="12"/>
      <c r="Z416" s="12"/>
      <c r="AA416" s="12"/>
      <c r="AB416" s="12"/>
      <c r="AC416" s="12"/>
      <c r="AD416" s="12"/>
      <c r="AE416" s="12"/>
      <c r="AF416" s="12"/>
      <c r="AG416" s="12"/>
      <c r="AH416" s="12"/>
      <c r="AI416" s="12"/>
    </row>
    <row r="417" spans="1:35" s="10" customFormat="1" x14ac:dyDescent="0.35">
      <c r="A417" s="12"/>
      <c r="B417" s="12"/>
      <c r="C417" s="12"/>
      <c r="D417"/>
      <c r="E417"/>
      <c r="F417"/>
      <c r="G417" s="3"/>
      <c r="H417" s="3"/>
      <c r="I417" s="3"/>
      <c r="J417" s="3"/>
      <c r="K417"/>
      <c r="L417"/>
      <c r="M417"/>
      <c r="N417" s="3"/>
      <c r="O417" s="3"/>
      <c r="P417" s="3"/>
      <c r="Q417" s="3"/>
      <c r="R417" s="3"/>
      <c r="S417"/>
      <c r="T417"/>
      <c r="U417"/>
      <c r="V417"/>
      <c r="W417" s="12"/>
      <c r="X417" s="12"/>
      <c r="Y417" s="12"/>
      <c r="Z417" s="12"/>
      <c r="AA417" s="12"/>
      <c r="AB417" s="12"/>
      <c r="AC417" s="12"/>
      <c r="AD417" s="12"/>
      <c r="AE417" s="12"/>
      <c r="AF417" s="12"/>
      <c r="AG417" s="12"/>
      <c r="AH417" s="12"/>
      <c r="AI417" s="12"/>
    </row>
    <row r="418" spans="1:35" s="10" customFormat="1" x14ac:dyDescent="0.35">
      <c r="A418" s="12"/>
      <c r="B418" s="12"/>
      <c r="C418" s="12"/>
      <c r="D418"/>
      <c r="E418"/>
      <c r="F418"/>
      <c r="G418" s="3"/>
      <c r="H418" s="3"/>
      <c r="I418" s="3"/>
      <c r="J418" s="3"/>
      <c r="K418"/>
      <c r="L418"/>
      <c r="M418"/>
      <c r="N418" s="3"/>
      <c r="O418" s="3"/>
      <c r="P418" s="3"/>
      <c r="Q418" s="3"/>
      <c r="R418" s="3"/>
      <c r="S418"/>
      <c r="T418"/>
      <c r="U418"/>
      <c r="V418"/>
      <c r="W418" s="12"/>
      <c r="X418" s="12"/>
      <c r="Y418" s="12"/>
      <c r="Z418" s="12"/>
      <c r="AA418" s="12"/>
      <c r="AB418" s="12"/>
      <c r="AC418" s="12"/>
      <c r="AD418" s="12"/>
      <c r="AE418" s="12"/>
      <c r="AF418" s="12"/>
      <c r="AG418" s="12"/>
      <c r="AH418" s="12"/>
      <c r="AI418" s="12"/>
    </row>
    <row r="419" spans="1:35" s="10" customFormat="1" x14ac:dyDescent="0.35">
      <c r="A419" s="12"/>
      <c r="B419" s="12"/>
      <c r="C419" s="12"/>
      <c r="D419"/>
      <c r="E419"/>
      <c r="F419"/>
      <c r="G419" s="3"/>
      <c r="H419" s="3"/>
      <c r="I419" s="3"/>
      <c r="J419" s="3"/>
      <c r="K419"/>
      <c r="L419"/>
      <c r="M419"/>
      <c r="N419" s="3"/>
      <c r="O419" s="3"/>
      <c r="P419" s="3"/>
      <c r="Q419" s="3"/>
      <c r="R419" s="3"/>
      <c r="S419"/>
      <c r="T419"/>
      <c r="U419"/>
      <c r="V419"/>
      <c r="W419" s="12"/>
      <c r="X419" s="12"/>
      <c r="Y419" s="12"/>
      <c r="Z419" s="12"/>
      <c r="AA419" s="12"/>
      <c r="AB419" s="12"/>
      <c r="AC419" s="12"/>
      <c r="AD419" s="12"/>
      <c r="AE419" s="12"/>
      <c r="AF419" s="12"/>
      <c r="AG419" s="12"/>
      <c r="AH419" s="12"/>
      <c r="AI419" s="12"/>
    </row>
    <row r="420" spans="1:35" s="10" customFormat="1" x14ac:dyDescent="0.35">
      <c r="A420" s="12"/>
      <c r="B420" s="12"/>
      <c r="C420" s="12"/>
      <c r="D420"/>
      <c r="E420"/>
      <c r="F420"/>
      <c r="G420" s="3"/>
      <c r="H420" s="3"/>
      <c r="I420" s="3"/>
      <c r="J420" s="3"/>
      <c r="K420"/>
      <c r="L420"/>
      <c r="M420"/>
      <c r="N420" s="3"/>
      <c r="O420" s="3"/>
      <c r="P420" s="3"/>
      <c r="Q420" s="3"/>
      <c r="R420" s="3"/>
      <c r="S420"/>
      <c r="T420"/>
      <c r="U420"/>
      <c r="V420"/>
      <c r="W420" s="12"/>
      <c r="X420" s="12"/>
      <c r="Y420" s="12"/>
      <c r="Z420" s="12"/>
      <c r="AA420" s="12"/>
      <c r="AB420" s="12"/>
      <c r="AC420" s="12"/>
      <c r="AD420" s="12"/>
      <c r="AE420" s="12"/>
      <c r="AF420" s="12"/>
      <c r="AG420" s="12"/>
      <c r="AH420" s="12"/>
      <c r="AI420" s="12"/>
    </row>
    <row r="421" spans="1:35" s="10" customFormat="1" x14ac:dyDescent="0.35">
      <c r="A421" s="12"/>
      <c r="B421" s="12"/>
      <c r="C421" s="12"/>
      <c r="D421"/>
      <c r="E421"/>
      <c r="F421"/>
      <c r="G421" s="3"/>
      <c r="H421" s="3"/>
      <c r="I421" s="3"/>
      <c r="J421" s="3"/>
      <c r="K421"/>
      <c r="L421"/>
      <c r="M421"/>
      <c r="N421" s="3"/>
      <c r="O421" s="3"/>
      <c r="P421" s="3"/>
      <c r="Q421" s="3"/>
      <c r="R421" s="3"/>
      <c r="S421"/>
      <c r="T421"/>
      <c r="U421"/>
      <c r="V421"/>
      <c r="W421" s="12"/>
      <c r="X421" s="12"/>
      <c r="Y421" s="12"/>
      <c r="Z421" s="12"/>
      <c r="AA421" s="12"/>
      <c r="AB421" s="12"/>
      <c r="AC421" s="12"/>
      <c r="AD421" s="12"/>
      <c r="AE421" s="12"/>
      <c r="AF421" s="12"/>
      <c r="AG421" s="12"/>
      <c r="AH421" s="12"/>
      <c r="AI421" s="12"/>
    </row>
    <row r="422" spans="1:35" s="10" customFormat="1" x14ac:dyDescent="0.35">
      <c r="A422" s="12"/>
      <c r="B422" s="12"/>
      <c r="C422" s="12"/>
      <c r="D422"/>
      <c r="E422"/>
      <c r="F422"/>
      <c r="G422" s="3"/>
      <c r="H422" s="3"/>
      <c r="I422" s="3"/>
      <c r="J422" s="3"/>
      <c r="K422"/>
      <c r="L422"/>
      <c r="M422"/>
      <c r="N422" s="3"/>
      <c r="O422" s="3"/>
      <c r="P422" s="3"/>
      <c r="Q422" s="3"/>
      <c r="R422" s="3"/>
      <c r="S422"/>
      <c r="T422"/>
      <c r="U422"/>
      <c r="V422"/>
      <c r="W422" s="12"/>
      <c r="X422" s="12"/>
      <c r="Y422" s="12"/>
      <c r="Z422" s="12"/>
      <c r="AA422" s="12"/>
      <c r="AB422" s="12"/>
      <c r="AC422" s="12"/>
      <c r="AD422" s="12"/>
      <c r="AE422" s="12"/>
      <c r="AF422" s="12"/>
      <c r="AG422" s="12"/>
      <c r="AH422" s="12"/>
      <c r="AI422" s="12"/>
    </row>
    <row r="423" spans="1:35" s="10" customFormat="1" x14ac:dyDescent="0.35">
      <c r="A423" s="12"/>
      <c r="B423" s="12"/>
      <c r="C423" s="12"/>
      <c r="D423"/>
      <c r="E423"/>
      <c r="F423"/>
      <c r="G423" s="3"/>
      <c r="H423" s="3"/>
      <c r="I423" s="3"/>
      <c r="J423" s="3"/>
      <c r="K423"/>
      <c r="L423"/>
      <c r="M423"/>
      <c r="N423" s="3"/>
      <c r="O423" s="3"/>
      <c r="P423" s="3"/>
      <c r="Q423" s="3"/>
      <c r="R423" s="3"/>
      <c r="S423"/>
      <c r="T423"/>
      <c r="U423"/>
      <c r="V423"/>
      <c r="W423" s="12"/>
      <c r="X423" s="12"/>
      <c r="Y423" s="12"/>
      <c r="Z423" s="12"/>
      <c r="AA423" s="12"/>
      <c r="AB423" s="12"/>
      <c r="AC423" s="12"/>
      <c r="AD423" s="12"/>
      <c r="AE423" s="12"/>
      <c r="AF423" s="12"/>
      <c r="AG423" s="12"/>
      <c r="AH423" s="12"/>
      <c r="AI423" s="12"/>
    </row>
    <row r="424" spans="1:35" s="10" customFormat="1" x14ac:dyDescent="0.35">
      <c r="A424" s="12"/>
      <c r="B424" s="12"/>
      <c r="C424" s="12"/>
      <c r="D424"/>
      <c r="E424"/>
      <c r="F424"/>
      <c r="G424" s="3"/>
      <c r="H424" s="3"/>
      <c r="I424" s="3"/>
      <c r="J424" s="3"/>
      <c r="K424"/>
      <c r="L424"/>
      <c r="M424"/>
      <c r="N424" s="3"/>
      <c r="O424" s="3"/>
      <c r="P424" s="3"/>
      <c r="Q424" s="3"/>
      <c r="R424" s="3"/>
      <c r="S424"/>
      <c r="T424"/>
      <c r="U424"/>
      <c r="V424"/>
      <c r="W424" s="12"/>
      <c r="X424" s="12"/>
      <c r="Y424" s="12"/>
      <c r="Z424" s="12"/>
      <c r="AA424" s="12"/>
      <c r="AB424" s="12"/>
      <c r="AC424" s="12"/>
      <c r="AD424" s="12"/>
      <c r="AE424" s="12"/>
      <c r="AF424" s="12"/>
      <c r="AG424" s="12"/>
      <c r="AH424" s="12"/>
      <c r="AI424" s="12"/>
    </row>
    <row r="425" spans="1:35" s="10" customFormat="1" x14ac:dyDescent="0.35">
      <c r="A425" s="12"/>
      <c r="B425" s="12"/>
      <c r="C425" s="12"/>
      <c r="D425"/>
      <c r="E425"/>
      <c r="F425"/>
      <c r="G425" s="3"/>
      <c r="H425" s="3"/>
      <c r="I425" s="3"/>
      <c r="J425" s="3"/>
      <c r="K425"/>
      <c r="L425"/>
      <c r="M425"/>
      <c r="N425" s="3"/>
      <c r="O425" s="3"/>
      <c r="P425" s="3"/>
      <c r="Q425" s="3"/>
      <c r="R425" s="3"/>
      <c r="S425"/>
      <c r="T425"/>
      <c r="U425"/>
      <c r="V425"/>
      <c r="W425" s="12"/>
      <c r="X425" s="12"/>
      <c r="Y425" s="12"/>
      <c r="Z425" s="12"/>
      <c r="AA425" s="12"/>
      <c r="AB425" s="12"/>
      <c r="AC425" s="12"/>
      <c r="AD425" s="12"/>
      <c r="AE425" s="12"/>
      <c r="AF425" s="12"/>
      <c r="AG425" s="12"/>
      <c r="AH425" s="12"/>
      <c r="AI425" s="12"/>
    </row>
    <row r="426" spans="1:35" s="10" customFormat="1" x14ac:dyDescent="0.35">
      <c r="A426" s="12"/>
      <c r="B426" s="12"/>
      <c r="C426" s="12"/>
      <c r="D426"/>
      <c r="E426"/>
      <c r="F426"/>
      <c r="G426" s="3"/>
      <c r="H426" s="3"/>
      <c r="I426" s="3"/>
      <c r="J426" s="3"/>
      <c r="K426"/>
      <c r="L426"/>
      <c r="M426"/>
      <c r="N426" s="3"/>
      <c r="O426" s="3"/>
      <c r="P426" s="3"/>
      <c r="Q426" s="3"/>
      <c r="R426" s="3"/>
      <c r="S426"/>
      <c r="T426"/>
      <c r="U426"/>
      <c r="V426"/>
      <c r="W426" s="12"/>
      <c r="X426" s="12"/>
      <c r="Y426" s="12"/>
      <c r="Z426" s="12"/>
      <c r="AA426" s="12"/>
      <c r="AB426" s="12"/>
      <c r="AC426" s="12"/>
      <c r="AD426" s="12"/>
      <c r="AE426" s="12"/>
      <c r="AF426" s="12"/>
      <c r="AG426" s="12"/>
      <c r="AH426" s="12"/>
      <c r="AI426" s="12"/>
    </row>
    <row r="427" spans="1:35" s="10" customFormat="1" x14ac:dyDescent="0.35">
      <c r="A427" s="12"/>
      <c r="B427" s="12"/>
      <c r="C427" s="12"/>
      <c r="D427"/>
      <c r="E427"/>
      <c r="F427"/>
      <c r="G427" s="3"/>
      <c r="H427" s="3"/>
      <c r="I427" s="3"/>
      <c r="J427" s="3"/>
      <c r="K427"/>
      <c r="L427"/>
      <c r="M427"/>
      <c r="N427" s="3"/>
      <c r="O427" s="3"/>
      <c r="P427" s="3"/>
      <c r="Q427" s="3"/>
      <c r="R427" s="3"/>
      <c r="S427"/>
      <c r="T427"/>
      <c r="U427"/>
      <c r="V427"/>
      <c r="W427" s="12"/>
      <c r="X427" s="12"/>
      <c r="Y427" s="12"/>
      <c r="Z427" s="12"/>
      <c r="AA427" s="12"/>
      <c r="AB427" s="12"/>
      <c r="AC427" s="12"/>
      <c r="AD427" s="12"/>
      <c r="AE427" s="12"/>
      <c r="AF427" s="12"/>
      <c r="AG427" s="12"/>
      <c r="AH427" s="12"/>
      <c r="AI427" s="12"/>
    </row>
    <row r="428" spans="1:35" s="10" customFormat="1" x14ac:dyDescent="0.35">
      <c r="A428" s="12"/>
      <c r="B428" s="12"/>
      <c r="C428" s="12"/>
      <c r="D428"/>
      <c r="E428"/>
      <c r="F428"/>
      <c r="G428" s="3"/>
      <c r="H428" s="3"/>
      <c r="I428" s="3"/>
      <c r="J428" s="3"/>
      <c r="K428"/>
      <c r="L428"/>
      <c r="M428"/>
      <c r="N428" s="3"/>
      <c r="O428" s="3"/>
      <c r="P428" s="3"/>
      <c r="Q428" s="3"/>
      <c r="R428" s="3"/>
      <c r="S428"/>
      <c r="T428"/>
      <c r="U428"/>
      <c r="V428"/>
      <c r="W428" s="12"/>
      <c r="X428" s="12"/>
      <c r="Y428" s="12"/>
      <c r="Z428" s="12"/>
      <c r="AA428" s="12"/>
      <c r="AB428" s="12"/>
      <c r="AC428" s="12"/>
      <c r="AD428" s="12"/>
      <c r="AE428" s="12"/>
      <c r="AF428" s="12"/>
      <c r="AG428" s="12"/>
      <c r="AH428" s="12"/>
      <c r="AI428" s="12"/>
    </row>
    <row r="429" spans="1:35" s="10" customFormat="1" x14ac:dyDescent="0.35">
      <c r="A429" s="12"/>
      <c r="B429" s="12"/>
      <c r="C429" s="12"/>
      <c r="D429"/>
      <c r="E429"/>
      <c r="F429"/>
      <c r="G429" s="3"/>
      <c r="H429" s="3"/>
      <c r="I429" s="3"/>
      <c r="J429" s="3"/>
      <c r="K429"/>
      <c r="L429"/>
      <c r="M429"/>
      <c r="N429" s="3"/>
      <c r="O429" s="3"/>
      <c r="P429" s="3"/>
      <c r="Q429" s="3"/>
      <c r="R429" s="3"/>
      <c r="S429"/>
      <c r="T429"/>
      <c r="U429"/>
      <c r="V429"/>
      <c r="W429" s="12"/>
      <c r="X429" s="12"/>
      <c r="Y429" s="12"/>
      <c r="Z429" s="12"/>
      <c r="AA429" s="12"/>
      <c r="AB429" s="12"/>
      <c r="AC429" s="12"/>
      <c r="AD429" s="12"/>
      <c r="AE429" s="12"/>
      <c r="AF429" s="12"/>
      <c r="AG429" s="12"/>
      <c r="AH429" s="12"/>
      <c r="AI429" s="12"/>
    </row>
    <row r="430" spans="1:35" s="10" customFormat="1" x14ac:dyDescent="0.35">
      <c r="A430" s="12"/>
      <c r="B430" s="12"/>
      <c r="C430" s="12"/>
      <c r="D430"/>
      <c r="E430"/>
      <c r="F430"/>
      <c r="G430" s="3"/>
      <c r="H430" s="3"/>
      <c r="I430" s="3"/>
      <c r="J430" s="3"/>
      <c r="K430"/>
      <c r="L430"/>
      <c r="M430"/>
      <c r="N430" s="3"/>
      <c r="O430" s="3"/>
      <c r="P430" s="3"/>
      <c r="Q430" s="3"/>
      <c r="R430" s="3"/>
      <c r="S430"/>
      <c r="T430"/>
      <c r="U430"/>
      <c r="V430"/>
      <c r="W430" s="12"/>
      <c r="X430" s="12"/>
      <c r="Y430" s="12"/>
      <c r="Z430" s="12"/>
      <c r="AA430" s="12"/>
      <c r="AB430" s="12"/>
      <c r="AC430" s="12"/>
      <c r="AD430" s="12"/>
      <c r="AE430" s="12"/>
      <c r="AF430" s="12"/>
      <c r="AG430" s="12"/>
      <c r="AH430" s="12"/>
      <c r="AI430" s="12"/>
    </row>
    <row r="431" spans="1:35" s="10" customFormat="1" x14ac:dyDescent="0.35">
      <c r="A431" s="12"/>
      <c r="B431" s="12"/>
      <c r="C431" s="12"/>
      <c r="D431"/>
      <c r="E431"/>
      <c r="F431"/>
      <c r="G431" s="3"/>
      <c r="H431" s="3"/>
      <c r="I431" s="3"/>
      <c r="J431" s="3"/>
      <c r="K431"/>
      <c r="L431"/>
      <c r="M431"/>
      <c r="N431" s="3"/>
      <c r="O431" s="3"/>
      <c r="P431" s="3"/>
      <c r="Q431" s="3"/>
      <c r="R431" s="3"/>
      <c r="S431"/>
      <c r="T431"/>
      <c r="U431"/>
      <c r="V431"/>
      <c r="W431" s="12"/>
      <c r="X431" s="12"/>
      <c r="Y431" s="12"/>
      <c r="Z431" s="12"/>
      <c r="AA431" s="12"/>
      <c r="AB431" s="12"/>
      <c r="AC431" s="12"/>
      <c r="AD431" s="12"/>
      <c r="AE431" s="12"/>
      <c r="AF431" s="12"/>
      <c r="AG431" s="12"/>
      <c r="AH431" s="12"/>
      <c r="AI431" s="12"/>
    </row>
    <row r="432" spans="1:35" s="10" customFormat="1" x14ac:dyDescent="0.35">
      <c r="A432" s="12"/>
      <c r="B432" s="12"/>
      <c r="C432" s="12"/>
      <c r="D432"/>
      <c r="E432"/>
      <c r="F432"/>
      <c r="G432" s="3"/>
      <c r="H432" s="3"/>
      <c r="I432" s="3"/>
      <c r="J432" s="3"/>
      <c r="K432"/>
      <c r="L432"/>
      <c r="M432"/>
      <c r="N432" s="3"/>
      <c r="O432" s="3"/>
      <c r="P432" s="3"/>
      <c r="Q432" s="3"/>
      <c r="R432" s="3"/>
      <c r="S432"/>
      <c r="T432"/>
      <c r="U432"/>
      <c r="V432"/>
      <c r="W432" s="12"/>
      <c r="X432" s="12"/>
      <c r="Y432" s="12"/>
      <c r="Z432" s="12"/>
      <c r="AA432" s="12"/>
      <c r="AB432" s="12"/>
      <c r="AC432" s="12"/>
      <c r="AD432" s="12"/>
      <c r="AE432" s="12"/>
      <c r="AF432" s="12"/>
      <c r="AG432" s="12"/>
      <c r="AH432" s="12"/>
      <c r="AI432" s="12"/>
    </row>
    <row r="433" spans="1:35" s="10" customFormat="1" x14ac:dyDescent="0.35">
      <c r="A433" s="12"/>
      <c r="B433" s="12"/>
      <c r="C433" s="12"/>
      <c r="D433"/>
      <c r="E433"/>
      <c r="F433"/>
      <c r="G433" s="3"/>
      <c r="H433" s="3"/>
      <c r="I433" s="3"/>
      <c r="J433" s="3"/>
      <c r="K433"/>
      <c r="L433"/>
      <c r="M433"/>
      <c r="N433" s="3"/>
      <c r="O433" s="3"/>
      <c r="P433" s="3"/>
      <c r="Q433" s="3"/>
      <c r="R433" s="3"/>
      <c r="S433"/>
      <c r="T433"/>
      <c r="U433"/>
      <c r="V433"/>
      <c r="W433" s="12"/>
      <c r="X433" s="12"/>
      <c r="Y433" s="12"/>
      <c r="Z433" s="12"/>
      <c r="AA433" s="12"/>
      <c r="AB433" s="12"/>
      <c r="AC433" s="12"/>
      <c r="AD433" s="12"/>
      <c r="AE433" s="12"/>
      <c r="AF433" s="12"/>
      <c r="AG433" s="12"/>
      <c r="AH433" s="12"/>
      <c r="AI433" s="12"/>
    </row>
    <row r="434" spans="1:35" s="10" customFormat="1" x14ac:dyDescent="0.35">
      <c r="A434" s="12"/>
      <c r="B434" s="12"/>
      <c r="C434" s="12"/>
      <c r="D434"/>
      <c r="E434"/>
      <c r="F434"/>
      <c r="G434" s="3"/>
      <c r="H434" s="3"/>
      <c r="I434" s="3"/>
      <c r="J434" s="3"/>
      <c r="K434"/>
      <c r="L434"/>
      <c r="M434"/>
      <c r="N434" s="3"/>
      <c r="O434" s="3"/>
      <c r="P434" s="3"/>
      <c r="Q434" s="3"/>
      <c r="R434" s="3"/>
      <c r="S434"/>
      <c r="T434"/>
      <c r="U434"/>
      <c r="V434"/>
      <c r="W434" s="12"/>
      <c r="X434" s="12"/>
      <c r="Y434" s="12"/>
      <c r="Z434" s="12"/>
      <c r="AA434" s="12"/>
      <c r="AB434" s="12"/>
      <c r="AC434" s="12"/>
      <c r="AD434" s="12"/>
      <c r="AE434" s="12"/>
      <c r="AF434" s="12"/>
      <c r="AG434" s="12"/>
      <c r="AH434" s="12"/>
      <c r="AI434" s="12"/>
    </row>
    <row r="435" spans="1:35" s="10" customFormat="1" x14ac:dyDescent="0.35">
      <c r="A435" s="12"/>
      <c r="B435" s="12"/>
      <c r="C435" s="12"/>
      <c r="D435"/>
      <c r="E435"/>
      <c r="F435"/>
      <c r="G435" s="3"/>
      <c r="H435" s="3"/>
      <c r="I435" s="3"/>
      <c r="J435" s="3"/>
      <c r="K435"/>
      <c r="L435"/>
      <c r="M435"/>
      <c r="N435" s="3"/>
      <c r="O435" s="3"/>
      <c r="P435" s="3"/>
      <c r="Q435" s="3"/>
      <c r="R435" s="3"/>
      <c r="S435"/>
      <c r="T435"/>
      <c r="U435"/>
      <c r="V435"/>
      <c r="W435" s="12"/>
      <c r="X435" s="12"/>
      <c r="Y435" s="12"/>
      <c r="Z435" s="12"/>
      <c r="AA435" s="12"/>
      <c r="AB435" s="12"/>
      <c r="AC435" s="12"/>
      <c r="AD435" s="12"/>
      <c r="AE435" s="12"/>
      <c r="AF435" s="12"/>
      <c r="AG435" s="12"/>
      <c r="AH435" s="12"/>
      <c r="AI435" s="12"/>
    </row>
    <row r="436" spans="1:35" s="10" customFormat="1" x14ac:dyDescent="0.35">
      <c r="A436" s="12"/>
      <c r="B436" s="12"/>
      <c r="C436" s="12"/>
      <c r="D436"/>
      <c r="E436"/>
      <c r="F436"/>
      <c r="G436" s="3"/>
      <c r="H436" s="3"/>
      <c r="I436" s="3"/>
      <c r="J436" s="3"/>
      <c r="K436"/>
      <c r="L436"/>
      <c r="M436"/>
      <c r="N436" s="3"/>
      <c r="O436" s="3"/>
      <c r="P436" s="3"/>
      <c r="Q436" s="3"/>
      <c r="R436" s="3"/>
      <c r="S436"/>
      <c r="T436"/>
      <c r="U436"/>
      <c r="V436"/>
      <c r="W436" s="12"/>
      <c r="X436" s="12"/>
      <c r="Y436" s="12"/>
      <c r="Z436" s="12"/>
      <c r="AA436" s="12"/>
      <c r="AB436" s="12"/>
      <c r="AC436" s="12"/>
      <c r="AD436" s="12"/>
      <c r="AE436" s="12"/>
      <c r="AF436" s="12"/>
      <c r="AG436" s="12"/>
      <c r="AH436" s="12"/>
      <c r="AI436" s="12"/>
    </row>
    <row r="437" spans="1:35" s="10" customFormat="1" x14ac:dyDescent="0.35">
      <c r="A437" s="12"/>
      <c r="B437" s="12"/>
      <c r="C437" s="12"/>
      <c r="D437"/>
      <c r="E437"/>
      <c r="F437"/>
      <c r="G437" s="3"/>
      <c r="H437" s="3"/>
      <c r="I437" s="3"/>
      <c r="J437" s="3"/>
      <c r="K437"/>
      <c r="L437"/>
      <c r="M437"/>
      <c r="N437" s="3"/>
      <c r="O437" s="3"/>
      <c r="P437" s="3"/>
      <c r="Q437" s="3"/>
      <c r="R437" s="3"/>
      <c r="S437"/>
      <c r="T437"/>
      <c r="U437"/>
      <c r="V437"/>
      <c r="W437" s="12"/>
      <c r="X437" s="12"/>
      <c r="Y437" s="12"/>
      <c r="Z437" s="12"/>
      <c r="AA437" s="12"/>
      <c r="AB437" s="12"/>
      <c r="AC437" s="12"/>
      <c r="AD437" s="12"/>
      <c r="AE437" s="12"/>
      <c r="AF437" s="12"/>
      <c r="AG437" s="12"/>
      <c r="AH437" s="12"/>
      <c r="AI437" s="12"/>
    </row>
    <row r="438" spans="1:35" s="10" customFormat="1" x14ac:dyDescent="0.35">
      <c r="A438" s="12"/>
      <c r="B438" s="12"/>
      <c r="C438" s="12"/>
      <c r="D438"/>
      <c r="E438"/>
      <c r="F438"/>
      <c r="G438" s="3"/>
      <c r="H438" s="3"/>
      <c r="I438" s="3"/>
      <c r="J438" s="3"/>
      <c r="K438"/>
      <c r="L438"/>
      <c r="M438"/>
      <c r="N438" s="3"/>
      <c r="O438" s="3"/>
      <c r="P438" s="3"/>
      <c r="Q438" s="3"/>
      <c r="R438" s="3"/>
      <c r="S438"/>
      <c r="T438"/>
      <c r="U438"/>
      <c r="V438"/>
      <c r="W438" s="12"/>
      <c r="X438" s="12"/>
      <c r="Y438" s="12"/>
      <c r="Z438" s="12"/>
      <c r="AA438" s="12"/>
      <c r="AB438" s="12"/>
      <c r="AC438" s="12"/>
      <c r="AD438" s="12"/>
      <c r="AE438" s="12"/>
      <c r="AF438" s="12"/>
      <c r="AG438" s="12"/>
      <c r="AH438" s="12"/>
      <c r="AI438" s="12"/>
    </row>
    <row r="439" spans="1:35" s="10" customFormat="1" x14ac:dyDescent="0.35">
      <c r="A439" s="12"/>
      <c r="B439" s="12"/>
      <c r="C439" s="12"/>
      <c r="D439"/>
      <c r="E439"/>
      <c r="F439"/>
      <c r="G439" s="3"/>
      <c r="H439" s="3"/>
      <c r="I439" s="3"/>
      <c r="J439" s="3"/>
      <c r="K439"/>
      <c r="L439"/>
      <c r="M439"/>
      <c r="N439" s="3"/>
      <c r="O439" s="3"/>
      <c r="P439" s="3"/>
      <c r="Q439" s="3"/>
      <c r="R439" s="3"/>
      <c r="S439"/>
      <c r="T439"/>
      <c r="U439"/>
      <c r="V439"/>
      <c r="W439" s="12"/>
      <c r="X439" s="12"/>
      <c r="Y439" s="12"/>
      <c r="Z439" s="12"/>
      <c r="AA439" s="12"/>
      <c r="AB439" s="12"/>
      <c r="AC439" s="12"/>
      <c r="AD439" s="12"/>
      <c r="AE439" s="12"/>
      <c r="AF439" s="12"/>
      <c r="AG439" s="12"/>
      <c r="AH439" s="12"/>
      <c r="AI439" s="12"/>
    </row>
    <row r="440" spans="1:35" s="10" customFormat="1" x14ac:dyDescent="0.35">
      <c r="A440" s="12"/>
      <c r="B440" s="12"/>
      <c r="C440" s="12"/>
      <c r="D440"/>
      <c r="E440"/>
      <c r="F440"/>
      <c r="G440" s="3"/>
      <c r="H440" s="3"/>
      <c r="I440" s="3"/>
      <c r="J440" s="3"/>
      <c r="K440"/>
      <c r="L440"/>
      <c r="M440"/>
      <c r="N440" s="3"/>
      <c r="O440" s="3"/>
      <c r="P440" s="3"/>
      <c r="Q440" s="3"/>
      <c r="R440" s="3"/>
      <c r="S440"/>
      <c r="T440"/>
      <c r="U440"/>
      <c r="V440"/>
      <c r="W440" s="12"/>
      <c r="X440" s="12"/>
      <c r="Y440" s="12"/>
      <c r="Z440" s="12"/>
      <c r="AA440" s="12"/>
      <c r="AB440" s="12"/>
      <c r="AC440" s="12"/>
      <c r="AD440" s="12"/>
      <c r="AE440" s="12"/>
      <c r="AF440" s="12"/>
      <c r="AG440" s="12"/>
      <c r="AH440" s="12"/>
      <c r="AI440" s="12"/>
    </row>
    <row r="441" spans="1:35" s="10" customFormat="1" x14ac:dyDescent="0.35">
      <c r="A441" s="12"/>
      <c r="B441" s="12"/>
      <c r="C441" s="12"/>
      <c r="D441"/>
      <c r="E441"/>
      <c r="F441"/>
      <c r="G441" s="3"/>
      <c r="H441" s="3"/>
      <c r="I441" s="3"/>
      <c r="J441" s="3"/>
      <c r="K441"/>
      <c r="L441"/>
      <c r="M441"/>
      <c r="N441" s="3"/>
      <c r="O441" s="3"/>
      <c r="P441" s="3"/>
      <c r="Q441" s="3"/>
      <c r="R441" s="3"/>
      <c r="S441"/>
      <c r="T441"/>
      <c r="U441"/>
      <c r="V441"/>
      <c r="W441" s="12"/>
      <c r="X441" s="12"/>
      <c r="Y441" s="12"/>
      <c r="Z441" s="12"/>
      <c r="AA441" s="12"/>
      <c r="AB441" s="12"/>
      <c r="AC441" s="12"/>
      <c r="AD441" s="12"/>
      <c r="AE441" s="12"/>
      <c r="AF441" s="12"/>
      <c r="AG441" s="12"/>
      <c r="AH441" s="12"/>
      <c r="AI441" s="12"/>
    </row>
    <row r="442" spans="1:35" s="10" customFormat="1" x14ac:dyDescent="0.35">
      <c r="A442" s="12"/>
      <c r="B442" s="12"/>
      <c r="C442" s="12"/>
      <c r="D442"/>
      <c r="E442"/>
      <c r="F442"/>
      <c r="G442" s="3"/>
      <c r="H442" s="3"/>
      <c r="I442" s="3"/>
      <c r="J442" s="3"/>
      <c r="K442"/>
      <c r="L442"/>
      <c r="M442"/>
      <c r="N442" s="3"/>
      <c r="O442" s="3"/>
      <c r="P442" s="3"/>
      <c r="Q442" s="3"/>
      <c r="R442" s="3"/>
      <c r="S442"/>
      <c r="T442"/>
      <c r="U442"/>
      <c r="V442"/>
      <c r="W442" s="12"/>
      <c r="X442" s="12"/>
      <c r="Y442" s="12"/>
      <c r="Z442" s="12"/>
      <c r="AA442" s="12"/>
      <c r="AB442" s="12"/>
      <c r="AC442" s="12"/>
      <c r="AD442" s="12"/>
      <c r="AE442" s="12"/>
      <c r="AF442" s="12"/>
      <c r="AG442" s="12"/>
      <c r="AH442" s="12"/>
      <c r="AI442" s="12"/>
    </row>
    <row r="443" spans="1:35" s="10" customFormat="1" x14ac:dyDescent="0.35">
      <c r="A443" s="12"/>
      <c r="B443" s="12"/>
      <c r="C443" s="12"/>
      <c r="D443"/>
      <c r="E443"/>
      <c r="F443"/>
      <c r="G443" s="3"/>
      <c r="H443" s="3"/>
      <c r="I443" s="3"/>
      <c r="J443" s="3"/>
      <c r="K443"/>
      <c r="L443"/>
      <c r="M443"/>
      <c r="N443" s="3"/>
      <c r="O443" s="3"/>
      <c r="P443" s="3"/>
      <c r="Q443" s="3"/>
      <c r="R443" s="3"/>
      <c r="S443"/>
      <c r="T443"/>
      <c r="U443"/>
      <c r="V443"/>
      <c r="W443" s="12"/>
      <c r="X443" s="12"/>
      <c r="Y443" s="12"/>
      <c r="Z443" s="12"/>
      <c r="AA443" s="12"/>
      <c r="AB443" s="12"/>
      <c r="AC443" s="12"/>
      <c r="AD443" s="12"/>
      <c r="AE443" s="12"/>
      <c r="AF443" s="12"/>
      <c r="AG443" s="12"/>
      <c r="AH443" s="12"/>
      <c r="AI443" s="12"/>
    </row>
    <row r="444" spans="1:35" s="10" customFormat="1" x14ac:dyDescent="0.35">
      <c r="A444" s="12"/>
      <c r="B444" s="12"/>
      <c r="C444" s="12"/>
      <c r="D444"/>
      <c r="E444"/>
      <c r="F444"/>
      <c r="G444" s="3"/>
      <c r="H444" s="3"/>
      <c r="I444" s="3"/>
      <c r="J444" s="3"/>
      <c r="K444"/>
      <c r="L444"/>
      <c r="M444"/>
      <c r="N444" s="3"/>
      <c r="O444" s="3"/>
      <c r="P444" s="3"/>
      <c r="Q444" s="3"/>
      <c r="R444" s="3"/>
      <c r="S444"/>
      <c r="T444"/>
      <c r="U444"/>
      <c r="V444"/>
      <c r="W444" s="12"/>
      <c r="X444" s="12"/>
      <c r="Y444" s="12"/>
      <c r="Z444" s="12"/>
      <c r="AA444" s="12"/>
      <c r="AB444" s="12"/>
      <c r="AC444" s="12"/>
      <c r="AD444" s="12"/>
      <c r="AE444" s="12"/>
      <c r="AF444" s="12"/>
      <c r="AG444" s="12"/>
      <c r="AH444" s="12"/>
      <c r="AI444" s="12"/>
    </row>
    <row r="445" spans="1:35" s="10" customFormat="1" x14ac:dyDescent="0.35">
      <c r="A445" s="12"/>
      <c r="B445" s="12"/>
      <c r="C445" s="12"/>
      <c r="D445"/>
      <c r="E445"/>
      <c r="F445"/>
      <c r="G445" s="3"/>
      <c r="H445" s="3"/>
      <c r="I445" s="3"/>
      <c r="J445" s="3"/>
      <c r="K445"/>
      <c r="L445"/>
      <c r="M445"/>
      <c r="N445" s="3"/>
      <c r="O445" s="3"/>
      <c r="P445" s="3"/>
      <c r="Q445" s="3"/>
      <c r="R445" s="3"/>
      <c r="S445"/>
      <c r="T445"/>
      <c r="U445"/>
      <c r="V445"/>
      <c r="W445" s="12"/>
      <c r="X445" s="12"/>
      <c r="Y445" s="12"/>
      <c r="Z445" s="12"/>
      <c r="AA445" s="12"/>
      <c r="AB445" s="12"/>
      <c r="AC445" s="12"/>
      <c r="AD445" s="12"/>
      <c r="AE445" s="12"/>
      <c r="AF445" s="12"/>
      <c r="AG445" s="12"/>
      <c r="AH445" s="12"/>
      <c r="AI445" s="12"/>
    </row>
    <row r="446" spans="1:35" s="10" customFormat="1" x14ac:dyDescent="0.35">
      <c r="A446" s="12"/>
      <c r="B446" s="12"/>
      <c r="C446" s="12"/>
      <c r="D446"/>
      <c r="E446"/>
      <c r="F446"/>
      <c r="G446" s="3"/>
      <c r="H446" s="3"/>
      <c r="I446" s="3"/>
      <c r="J446" s="3"/>
      <c r="K446"/>
      <c r="L446"/>
      <c r="M446"/>
      <c r="N446" s="3"/>
      <c r="O446" s="3"/>
      <c r="P446" s="3"/>
      <c r="Q446" s="3"/>
      <c r="R446" s="3"/>
      <c r="S446"/>
      <c r="T446"/>
      <c r="U446"/>
      <c r="V446"/>
      <c r="W446" s="12"/>
      <c r="X446" s="12"/>
      <c r="Y446" s="12"/>
      <c r="Z446" s="12"/>
      <c r="AA446" s="12"/>
      <c r="AB446" s="12"/>
      <c r="AC446" s="12"/>
      <c r="AD446" s="12"/>
      <c r="AE446" s="12"/>
      <c r="AF446" s="12"/>
      <c r="AG446" s="12"/>
      <c r="AH446" s="12"/>
      <c r="AI446" s="12"/>
    </row>
    <row r="447" spans="1:35" s="10" customFormat="1" x14ac:dyDescent="0.35">
      <c r="A447" s="12"/>
      <c r="B447" s="12"/>
      <c r="C447" s="12"/>
      <c r="D447"/>
      <c r="E447"/>
      <c r="F447"/>
      <c r="G447" s="3"/>
      <c r="H447" s="3"/>
      <c r="I447" s="3"/>
      <c r="J447" s="3"/>
      <c r="K447"/>
      <c r="L447"/>
      <c r="M447"/>
      <c r="N447" s="3"/>
      <c r="O447" s="3"/>
      <c r="P447" s="3"/>
      <c r="Q447" s="3"/>
      <c r="R447" s="3"/>
      <c r="S447"/>
      <c r="T447"/>
      <c r="U447"/>
      <c r="V447"/>
      <c r="W447" s="12"/>
      <c r="X447" s="12"/>
      <c r="Y447" s="12"/>
      <c r="Z447" s="12"/>
      <c r="AA447" s="12"/>
      <c r="AB447" s="12"/>
      <c r="AC447" s="12"/>
      <c r="AD447" s="12"/>
      <c r="AE447" s="12"/>
      <c r="AF447" s="12"/>
      <c r="AG447" s="12"/>
      <c r="AH447" s="12"/>
      <c r="AI447" s="12"/>
    </row>
    <row r="448" spans="1:35" s="10" customFormat="1" x14ac:dyDescent="0.35">
      <c r="A448" s="12"/>
      <c r="B448" s="12"/>
      <c r="C448" s="12"/>
      <c r="D448"/>
      <c r="E448"/>
      <c r="F448"/>
      <c r="G448" s="3"/>
      <c r="H448" s="3"/>
      <c r="I448" s="3"/>
      <c r="J448" s="3"/>
      <c r="K448"/>
      <c r="L448"/>
      <c r="M448"/>
      <c r="N448" s="3"/>
      <c r="O448" s="3"/>
      <c r="P448" s="3"/>
      <c r="Q448" s="3"/>
      <c r="R448" s="3"/>
      <c r="S448"/>
      <c r="T448"/>
      <c r="U448"/>
      <c r="V448"/>
      <c r="W448" s="12"/>
      <c r="X448" s="12"/>
      <c r="Y448" s="12"/>
      <c r="Z448" s="12"/>
      <c r="AA448" s="12"/>
      <c r="AB448" s="12"/>
      <c r="AC448" s="12"/>
      <c r="AD448" s="12"/>
      <c r="AE448" s="12"/>
      <c r="AF448" s="12"/>
      <c r="AG448" s="12"/>
      <c r="AH448" s="12"/>
      <c r="AI448" s="12"/>
    </row>
    <row r="449" spans="1:35" s="10" customFormat="1" x14ac:dyDescent="0.35">
      <c r="A449" s="12"/>
      <c r="B449" s="12"/>
      <c r="C449" s="12"/>
      <c r="D449"/>
      <c r="E449"/>
      <c r="F449"/>
      <c r="G449" s="3"/>
      <c r="H449" s="3"/>
      <c r="I449" s="3"/>
      <c r="J449" s="3"/>
      <c r="K449"/>
      <c r="L449"/>
      <c r="M449"/>
      <c r="N449" s="3"/>
      <c r="O449" s="3"/>
      <c r="P449" s="3"/>
      <c r="Q449" s="3"/>
      <c r="R449" s="3"/>
      <c r="S449"/>
      <c r="T449"/>
      <c r="U449"/>
      <c r="V449"/>
      <c r="W449" s="12"/>
      <c r="X449" s="12"/>
      <c r="Y449" s="12"/>
      <c r="Z449" s="12"/>
      <c r="AA449" s="12"/>
      <c r="AB449" s="12"/>
      <c r="AC449" s="12"/>
      <c r="AD449" s="12"/>
      <c r="AE449" s="12"/>
      <c r="AF449" s="12"/>
      <c r="AG449" s="12"/>
      <c r="AH449" s="12"/>
      <c r="AI449" s="12"/>
    </row>
    <row r="450" spans="1:35" s="10" customFormat="1" x14ac:dyDescent="0.35">
      <c r="A450" s="12"/>
      <c r="B450" s="12"/>
      <c r="C450" s="12"/>
      <c r="D450"/>
      <c r="E450"/>
      <c r="F450"/>
      <c r="G450" s="3"/>
      <c r="H450" s="3"/>
      <c r="I450" s="3"/>
      <c r="J450" s="3"/>
      <c r="K450"/>
      <c r="L450"/>
      <c r="M450"/>
      <c r="N450" s="3"/>
      <c r="O450" s="3"/>
      <c r="P450" s="3"/>
      <c r="Q450" s="3"/>
      <c r="R450" s="3"/>
      <c r="S450"/>
      <c r="T450"/>
      <c r="U450"/>
      <c r="V450"/>
      <c r="W450" s="12"/>
      <c r="X450" s="12"/>
      <c r="Y450" s="12"/>
      <c r="Z450" s="12"/>
      <c r="AA450" s="12"/>
      <c r="AB450" s="12"/>
      <c r="AC450" s="12"/>
      <c r="AD450" s="12"/>
      <c r="AE450" s="12"/>
      <c r="AF450" s="12"/>
      <c r="AG450" s="12"/>
      <c r="AH450" s="12"/>
      <c r="AI450" s="12"/>
    </row>
    <row r="451" spans="1:35" s="10" customFormat="1" x14ac:dyDescent="0.35">
      <c r="A451" s="12"/>
      <c r="B451" s="12"/>
      <c r="C451" s="12"/>
      <c r="D451"/>
      <c r="E451"/>
      <c r="F451"/>
      <c r="G451" s="3"/>
      <c r="H451" s="3"/>
      <c r="I451" s="3"/>
      <c r="J451" s="3"/>
      <c r="K451"/>
      <c r="L451"/>
      <c r="M451"/>
      <c r="N451" s="3"/>
      <c r="O451" s="3"/>
      <c r="P451" s="3"/>
      <c r="Q451" s="3"/>
      <c r="R451" s="3"/>
      <c r="S451"/>
      <c r="T451"/>
      <c r="U451"/>
      <c r="V451"/>
      <c r="W451" s="12"/>
      <c r="X451" s="12"/>
      <c r="Y451" s="12"/>
      <c r="Z451" s="12"/>
      <c r="AA451" s="12"/>
      <c r="AB451" s="12"/>
      <c r="AC451" s="12"/>
      <c r="AD451" s="12"/>
      <c r="AE451" s="12"/>
      <c r="AF451" s="12"/>
      <c r="AG451" s="12"/>
      <c r="AH451" s="12"/>
      <c r="AI451" s="12"/>
    </row>
    <row r="452" spans="1:35" s="10" customFormat="1" x14ac:dyDescent="0.35">
      <c r="A452" s="12"/>
      <c r="B452" s="12"/>
      <c r="C452" s="12"/>
      <c r="D452"/>
      <c r="E452"/>
      <c r="F452"/>
      <c r="G452" s="3"/>
      <c r="H452" s="3"/>
      <c r="I452" s="3"/>
      <c r="J452" s="3"/>
      <c r="K452"/>
      <c r="L452"/>
      <c r="M452"/>
      <c r="N452" s="3"/>
      <c r="O452" s="3"/>
      <c r="P452" s="3"/>
      <c r="Q452" s="3"/>
      <c r="R452" s="3"/>
      <c r="S452"/>
      <c r="T452"/>
      <c r="U452"/>
      <c r="V452"/>
      <c r="W452" s="12"/>
      <c r="X452" s="12"/>
      <c r="Y452" s="12"/>
      <c r="Z452" s="12"/>
      <c r="AA452" s="12"/>
      <c r="AB452" s="12"/>
      <c r="AC452" s="12"/>
      <c r="AD452" s="12"/>
      <c r="AE452" s="12"/>
      <c r="AF452" s="12"/>
      <c r="AG452" s="12"/>
      <c r="AH452" s="12"/>
      <c r="AI452" s="12"/>
    </row>
    <row r="453" spans="1:35" s="10" customFormat="1" x14ac:dyDescent="0.35">
      <c r="A453" s="12"/>
      <c r="B453" s="12"/>
      <c r="C453" s="12"/>
      <c r="D453"/>
      <c r="E453"/>
      <c r="F453"/>
      <c r="G453" s="3"/>
      <c r="H453" s="3"/>
      <c r="I453" s="3"/>
      <c r="J453" s="3"/>
      <c r="K453"/>
      <c r="L453"/>
      <c r="M453"/>
      <c r="N453" s="3"/>
      <c r="O453" s="3"/>
      <c r="P453" s="3"/>
      <c r="Q453" s="3"/>
      <c r="R453" s="3"/>
      <c r="S453"/>
      <c r="T453"/>
      <c r="U453"/>
      <c r="V453"/>
      <c r="W453" s="12"/>
      <c r="X453" s="12"/>
      <c r="Y453" s="12"/>
      <c r="Z453" s="12"/>
      <c r="AA453" s="12"/>
      <c r="AB453" s="12"/>
      <c r="AC453" s="12"/>
      <c r="AD453" s="12"/>
      <c r="AE453" s="12"/>
      <c r="AF453" s="12"/>
      <c r="AG453" s="12"/>
      <c r="AH453" s="12"/>
      <c r="AI453" s="12"/>
    </row>
    <row r="454" spans="1:35" s="10" customFormat="1" x14ac:dyDescent="0.35">
      <c r="A454" s="12"/>
      <c r="B454" s="12"/>
      <c r="C454" s="12"/>
      <c r="D454"/>
      <c r="E454"/>
      <c r="F454"/>
      <c r="G454" s="3"/>
      <c r="H454" s="3"/>
      <c r="I454" s="3"/>
      <c r="J454" s="3"/>
      <c r="K454"/>
      <c r="L454"/>
      <c r="M454"/>
      <c r="N454" s="3"/>
      <c r="O454" s="3"/>
      <c r="P454" s="3"/>
      <c r="Q454" s="3"/>
      <c r="R454" s="3"/>
      <c r="S454"/>
      <c r="T454"/>
      <c r="U454"/>
      <c r="V454"/>
      <c r="W454" s="12"/>
      <c r="X454" s="12"/>
      <c r="Y454" s="12"/>
      <c r="Z454" s="12"/>
      <c r="AA454" s="12"/>
      <c r="AB454" s="12"/>
      <c r="AC454" s="12"/>
      <c r="AD454" s="12"/>
      <c r="AE454" s="12"/>
      <c r="AF454" s="12"/>
      <c r="AG454" s="12"/>
      <c r="AH454" s="12"/>
      <c r="AI454" s="12"/>
    </row>
    <row r="455" spans="1:35" s="10" customFormat="1" x14ac:dyDescent="0.35">
      <c r="A455" s="12"/>
      <c r="B455" s="12"/>
      <c r="C455" s="12"/>
      <c r="D455"/>
      <c r="E455"/>
      <c r="F455"/>
      <c r="G455" s="3"/>
      <c r="H455" s="3"/>
      <c r="I455" s="3"/>
      <c r="J455" s="3"/>
      <c r="K455"/>
      <c r="L455"/>
      <c r="M455"/>
      <c r="N455" s="3"/>
      <c r="O455" s="3"/>
      <c r="P455" s="3"/>
      <c r="Q455" s="3"/>
      <c r="R455" s="3"/>
      <c r="S455"/>
      <c r="T455"/>
      <c r="U455"/>
      <c r="V455"/>
      <c r="W455" s="12"/>
      <c r="X455" s="12"/>
      <c r="Y455" s="12"/>
      <c r="Z455" s="12"/>
      <c r="AA455" s="12"/>
      <c r="AB455" s="12"/>
      <c r="AC455" s="12"/>
      <c r="AD455" s="12"/>
      <c r="AE455" s="12"/>
      <c r="AF455" s="12"/>
      <c r="AG455" s="12"/>
      <c r="AH455" s="12"/>
      <c r="AI455" s="12"/>
    </row>
    <row r="456" spans="1:35" s="10" customFormat="1" x14ac:dyDescent="0.35">
      <c r="A456" s="12"/>
      <c r="B456" s="12"/>
      <c r="C456" s="12"/>
      <c r="D456"/>
      <c r="E456"/>
      <c r="F456"/>
      <c r="G456" s="3"/>
      <c r="H456" s="3"/>
      <c r="I456" s="3"/>
      <c r="J456" s="3"/>
      <c r="K456"/>
      <c r="L456"/>
      <c r="M456"/>
      <c r="N456" s="3"/>
      <c r="O456" s="3"/>
      <c r="P456" s="3"/>
      <c r="Q456" s="3"/>
      <c r="R456" s="3"/>
      <c r="S456"/>
      <c r="T456"/>
      <c r="U456"/>
      <c r="V456"/>
      <c r="W456" s="12"/>
      <c r="X456" s="12"/>
      <c r="Y456" s="12"/>
      <c r="Z456" s="12"/>
      <c r="AA456" s="12"/>
      <c r="AB456" s="12"/>
      <c r="AC456" s="12"/>
      <c r="AD456" s="12"/>
      <c r="AE456" s="12"/>
      <c r="AF456" s="12"/>
      <c r="AG456" s="12"/>
      <c r="AH456" s="12"/>
      <c r="AI456" s="12"/>
    </row>
    <row r="457" spans="1:35" s="10" customFormat="1" x14ac:dyDescent="0.35">
      <c r="A457" s="12"/>
      <c r="B457" s="12"/>
      <c r="C457" s="12"/>
      <c r="D457"/>
      <c r="E457"/>
      <c r="F457"/>
      <c r="G457" s="3"/>
      <c r="H457" s="3"/>
      <c r="I457" s="3"/>
      <c r="J457" s="3"/>
      <c r="K457"/>
      <c r="L457"/>
      <c r="M457"/>
      <c r="N457" s="3"/>
      <c r="O457" s="3"/>
      <c r="P457" s="3"/>
      <c r="Q457" s="3"/>
      <c r="R457" s="3"/>
      <c r="S457"/>
      <c r="T457"/>
      <c r="U457"/>
      <c r="V457"/>
      <c r="W457" s="12"/>
      <c r="X457" s="12"/>
      <c r="Y457" s="12"/>
      <c r="Z457" s="12"/>
      <c r="AA457" s="12"/>
      <c r="AB457" s="12"/>
      <c r="AC457" s="12"/>
      <c r="AD457" s="12"/>
      <c r="AE457" s="12"/>
      <c r="AF457" s="12"/>
      <c r="AG457" s="12"/>
      <c r="AH457" s="12"/>
      <c r="AI457" s="12"/>
    </row>
    <row r="458" spans="1:35" s="10" customFormat="1" x14ac:dyDescent="0.35">
      <c r="A458" s="12"/>
      <c r="B458" s="12"/>
      <c r="C458" s="12"/>
      <c r="D458"/>
      <c r="E458"/>
      <c r="F458"/>
      <c r="G458" s="3"/>
      <c r="H458" s="3"/>
      <c r="I458" s="3"/>
      <c r="J458" s="3"/>
      <c r="K458"/>
      <c r="L458"/>
      <c r="M458"/>
      <c r="N458" s="3"/>
      <c r="O458" s="3"/>
      <c r="P458" s="3"/>
      <c r="Q458" s="3"/>
      <c r="R458" s="3"/>
      <c r="S458"/>
      <c r="T458"/>
      <c r="U458"/>
      <c r="V458"/>
      <c r="W458" s="12"/>
      <c r="X458" s="12"/>
      <c r="Y458" s="12"/>
      <c r="Z458" s="12"/>
      <c r="AA458" s="12"/>
      <c r="AB458" s="12"/>
      <c r="AC458" s="12"/>
      <c r="AD458" s="12"/>
      <c r="AE458" s="12"/>
      <c r="AF458" s="12"/>
      <c r="AG458" s="12"/>
      <c r="AH458" s="12"/>
      <c r="AI458" s="12"/>
    </row>
    <row r="459" spans="1:35" s="10" customFormat="1" x14ac:dyDescent="0.35">
      <c r="A459" s="12"/>
      <c r="B459" s="12"/>
      <c r="C459" s="12"/>
      <c r="D459"/>
      <c r="E459"/>
      <c r="F459"/>
      <c r="G459" s="3"/>
      <c r="H459" s="3"/>
      <c r="I459" s="3"/>
      <c r="J459" s="3"/>
      <c r="K459"/>
      <c r="L459"/>
      <c r="M459"/>
      <c r="N459" s="3"/>
      <c r="O459" s="3"/>
      <c r="P459" s="3"/>
      <c r="Q459" s="3"/>
      <c r="R459" s="3"/>
      <c r="S459"/>
      <c r="T459"/>
      <c r="U459"/>
      <c r="V459"/>
      <c r="W459" s="12"/>
      <c r="X459" s="12"/>
      <c r="Y459" s="12"/>
      <c r="Z459" s="12"/>
      <c r="AA459" s="12"/>
      <c r="AB459" s="12"/>
      <c r="AC459" s="12"/>
      <c r="AD459" s="12"/>
      <c r="AE459" s="12"/>
      <c r="AF459" s="12"/>
      <c r="AG459" s="12"/>
      <c r="AH459" s="12"/>
      <c r="AI459" s="12"/>
    </row>
    <row r="460" spans="1:35" s="10" customFormat="1" x14ac:dyDescent="0.35">
      <c r="A460" s="12"/>
      <c r="B460" s="12"/>
      <c r="C460" s="12"/>
      <c r="D460"/>
      <c r="E460"/>
      <c r="F460"/>
      <c r="G460" s="3"/>
      <c r="H460" s="3"/>
      <c r="I460" s="3"/>
      <c r="J460" s="3"/>
      <c r="K460"/>
      <c r="L460"/>
      <c r="M460"/>
      <c r="N460" s="3"/>
      <c r="O460" s="3"/>
      <c r="P460" s="3"/>
      <c r="Q460" s="3"/>
      <c r="R460" s="3"/>
      <c r="S460"/>
      <c r="T460"/>
      <c r="U460"/>
      <c r="V460"/>
      <c r="W460" s="12"/>
      <c r="X460" s="12"/>
      <c r="Y460" s="12"/>
      <c r="Z460" s="12"/>
      <c r="AA460" s="12"/>
      <c r="AB460" s="12"/>
      <c r="AC460" s="12"/>
      <c r="AD460" s="12"/>
      <c r="AE460" s="12"/>
      <c r="AF460" s="12"/>
      <c r="AG460" s="12"/>
      <c r="AH460" s="12"/>
      <c r="AI460" s="12"/>
    </row>
    <row r="461" spans="1:35" s="10" customFormat="1" x14ac:dyDescent="0.35">
      <c r="A461" s="12"/>
      <c r="B461" s="12"/>
      <c r="C461" s="12"/>
      <c r="D461"/>
      <c r="E461"/>
      <c r="F461"/>
      <c r="G461" s="3"/>
      <c r="H461" s="3"/>
      <c r="I461" s="3"/>
      <c r="J461" s="3"/>
      <c r="K461"/>
      <c r="L461"/>
      <c r="M461"/>
      <c r="N461" s="3"/>
      <c r="O461" s="3"/>
      <c r="P461" s="3"/>
      <c r="Q461" s="3"/>
      <c r="R461" s="3"/>
      <c r="S461"/>
      <c r="T461"/>
      <c r="U461"/>
      <c r="V461"/>
      <c r="W461" s="12"/>
      <c r="X461" s="12"/>
      <c r="Y461" s="12"/>
      <c r="Z461" s="12"/>
      <c r="AA461" s="12"/>
      <c r="AB461" s="12"/>
      <c r="AC461" s="12"/>
      <c r="AD461" s="12"/>
      <c r="AE461" s="12"/>
      <c r="AF461" s="12"/>
      <c r="AG461" s="12"/>
      <c r="AH461" s="12"/>
      <c r="AI461" s="12"/>
    </row>
    <row r="462" spans="1:35" s="10" customFormat="1" x14ac:dyDescent="0.35">
      <c r="A462" s="12"/>
      <c r="B462" s="12"/>
      <c r="C462" s="12"/>
      <c r="D462"/>
      <c r="E462"/>
      <c r="F462"/>
      <c r="G462" s="3"/>
      <c r="H462" s="3"/>
      <c r="I462" s="3"/>
      <c r="J462" s="3"/>
      <c r="K462"/>
      <c r="L462"/>
      <c r="M462"/>
      <c r="N462" s="3"/>
      <c r="O462" s="3"/>
      <c r="P462" s="3"/>
      <c r="Q462" s="3"/>
      <c r="R462" s="3"/>
      <c r="S462"/>
      <c r="T462"/>
      <c r="U462"/>
      <c r="V462"/>
      <c r="W462" s="12"/>
      <c r="X462" s="12"/>
      <c r="Y462" s="12"/>
      <c r="Z462" s="12"/>
      <c r="AA462" s="12"/>
      <c r="AB462" s="12"/>
      <c r="AC462" s="12"/>
      <c r="AD462" s="12"/>
      <c r="AE462" s="12"/>
      <c r="AF462" s="12"/>
      <c r="AG462" s="12"/>
      <c r="AH462" s="12"/>
      <c r="AI462" s="12"/>
    </row>
    <row r="463" spans="1:35" s="10" customFormat="1" x14ac:dyDescent="0.35">
      <c r="A463" s="12"/>
      <c r="B463" s="12"/>
      <c r="C463" s="12"/>
      <c r="D463"/>
      <c r="E463"/>
      <c r="F463"/>
      <c r="G463" s="3"/>
      <c r="H463" s="3"/>
      <c r="I463" s="3"/>
      <c r="J463" s="3"/>
      <c r="K463"/>
      <c r="L463"/>
      <c r="M463"/>
      <c r="N463" s="3"/>
      <c r="O463" s="3"/>
      <c r="P463" s="3"/>
      <c r="Q463" s="3"/>
      <c r="R463" s="3"/>
      <c r="S463"/>
      <c r="T463"/>
      <c r="U463"/>
      <c r="V463"/>
      <c r="W463" s="12"/>
      <c r="X463" s="12"/>
      <c r="Y463" s="12"/>
      <c r="Z463" s="12"/>
      <c r="AA463" s="12"/>
      <c r="AB463" s="12"/>
      <c r="AC463" s="12"/>
      <c r="AD463" s="12"/>
      <c r="AE463" s="12"/>
      <c r="AF463" s="12"/>
      <c r="AG463" s="12"/>
      <c r="AH463" s="12"/>
      <c r="AI463" s="12"/>
    </row>
    <row r="464" spans="1:35" s="10" customFormat="1" x14ac:dyDescent="0.35">
      <c r="A464" s="12"/>
      <c r="B464" s="12"/>
      <c r="C464" s="12"/>
      <c r="D464"/>
      <c r="E464"/>
      <c r="F464"/>
      <c r="G464" s="3"/>
      <c r="H464" s="3"/>
      <c r="I464" s="3"/>
      <c r="J464" s="3"/>
      <c r="K464"/>
      <c r="L464"/>
      <c r="M464"/>
      <c r="N464" s="3"/>
      <c r="O464" s="3"/>
      <c r="P464" s="3"/>
      <c r="Q464" s="3"/>
      <c r="R464" s="3"/>
      <c r="S464"/>
      <c r="T464"/>
      <c r="U464"/>
      <c r="V464"/>
      <c r="W464" s="12"/>
      <c r="X464" s="12"/>
      <c r="Y464" s="12"/>
      <c r="Z464" s="12"/>
      <c r="AA464" s="12"/>
      <c r="AB464" s="12"/>
      <c r="AC464" s="12"/>
      <c r="AD464" s="12"/>
      <c r="AE464" s="12"/>
      <c r="AF464" s="12"/>
      <c r="AG464" s="12"/>
      <c r="AH464" s="12"/>
      <c r="AI464" s="12"/>
    </row>
    <row r="465" spans="1:35" s="10" customFormat="1" x14ac:dyDescent="0.35">
      <c r="A465" s="12"/>
      <c r="B465" s="12"/>
      <c r="C465" s="12"/>
      <c r="D465"/>
      <c r="E465"/>
      <c r="F465"/>
      <c r="G465" s="3"/>
      <c r="H465" s="3"/>
      <c r="I465" s="3"/>
      <c r="J465" s="3"/>
      <c r="K465"/>
      <c r="L465"/>
      <c r="M465"/>
      <c r="N465" s="3"/>
      <c r="O465" s="3"/>
      <c r="P465" s="3"/>
      <c r="Q465" s="3"/>
      <c r="R465" s="3"/>
      <c r="S465"/>
      <c r="T465"/>
      <c r="U465"/>
      <c r="V465"/>
      <c r="W465" s="12"/>
      <c r="X465" s="12"/>
      <c r="Y465" s="12"/>
      <c r="Z465" s="12"/>
      <c r="AA465" s="12"/>
      <c r="AB465" s="12"/>
      <c r="AC465" s="12"/>
      <c r="AD465" s="12"/>
      <c r="AE465" s="12"/>
      <c r="AF465" s="12"/>
      <c r="AG465" s="12"/>
      <c r="AH465" s="12"/>
      <c r="AI465" s="12"/>
    </row>
    <row r="466" spans="1:35" s="10" customFormat="1" x14ac:dyDescent="0.35">
      <c r="A466" s="12"/>
      <c r="B466" s="12"/>
      <c r="C466" s="12"/>
      <c r="D466"/>
      <c r="E466"/>
      <c r="F466"/>
      <c r="G466" s="3"/>
      <c r="H466" s="3"/>
      <c r="I466" s="3"/>
      <c r="J466" s="3"/>
      <c r="K466"/>
      <c r="L466"/>
      <c r="M466"/>
      <c r="N466" s="3"/>
      <c r="O466" s="3"/>
      <c r="P466" s="3"/>
      <c r="Q466" s="3"/>
      <c r="R466" s="3"/>
      <c r="S466"/>
      <c r="T466"/>
      <c r="U466"/>
      <c r="V466"/>
      <c r="W466" s="12"/>
      <c r="X466" s="12"/>
      <c r="Y466" s="12"/>
      <c r="Z466" s="12"/>
      <c r="AA466" s="12"/>
      <c r="AB466" s="12"/>
      <c r="AC466" s="12"/>
      <c r="AD466" s="12"/>
      <c r="AE466" s="12"/>
      <c r="AF466" s="12"/>
      <c r="AG466" s="12"/>
      <c r="AH466" s="12"/>
      <c r="AI466" s="12"/>
    </row>
    <row r="467" spans="1:35" s="10" customFormat="1" x14ac:dyDescent="0.35">
      <c r="A467" s="12"/>
      <c r="B467" s="12"/>
      <c r="C467" s="12"/>
      <c r="D467"/>
      <c r="E467"/>
      <c r="F467"/>
      <c r="G467" s="3"/>
      <c r="H467" s="3"/>
      <c r="I467" s="3"/>
      <c r="J467" s="3"/>
      <c r="K467"/>
      <c r="L467"/>
      <c r="M467"/>
      <c r="N467" s="3"/>
      <c r="O467" s="3"/>
      <c r="P467" s="3"/>
      <c r="Q467" s="3"/>
      <c r="R467" s="3"/>
      <c r="S467"/>
      <c r="T467"/>
      <c r="U467"/>
      <c r="V467"/>
      <c r="W467" s="12"/>
      <c r="X467" s="12"/>
      <c r="Y467" s="12"/>
      <c r="Z467" s="12"/>
      <c r="AA467" s="12"/>
      <c r="AB467" s="12"/>
      <c r="AC467" s="12"/>
      <c r="AD467" s="12"/>
      <c r="AE467" s="12"/>
      <c r="AF467" s="12"/>
      <c r="AG467" s="12"/>
      <c r="AH467" s="12"/>
      <c r="AI467" s="12"/>
    </row>
    <row r="468" spans="1:35" s="10" customFormat="1" x14ac:dyDescent="0.35">
      <c r="A468" s="12"/>
      <c r="B468" s="12"/>
      <c r="C468" s="12"/>
      <c r="D468"/>
      <c r="E468"/>
      <c r="F468"/>
      <c r="G468" s="3"/>
      <c r="H468" s="3"/>
      <c r="I468" s="3"/>
      <c r="J468" s="3"/>
      <c r="K468"/>
      <c r="L468"/>
      <c r="M468"/>
      <c r="N468" s="3"/>
      <c r="O468" s="3"/>
      <c r="P468" s="3"/>
      <c r="Q468" s="3"/>
      <c r="R468" s="3"/>
      <c r="S468"/>
      <c r="T468"/>
      <c r="U468"/>
      <c r="V468"/>
      <c r="W468" s="12"/>
      <c r="X468" s="12"/>
      <c r="Y468" s="12"/>
      <c r="Z468" s="12"/>
      <c r="AA468" s="12"/>
      <c r="AB468" s="12"/>
      <c r="AC468" s="12"/>
      <c r="AD468" s="12"/>
      <c r="AE468" s="12"/>
      <c r="AF468" s="12"/>
      <c r="AG468" s="12"/>
      <c r="AH468" s="12"/>
      <c r="AI468" s="12"/>
    </row>
    <row r="469" spans="1:35" s="10" customFormat="1" x14ac:dyDescent="0.35">
      <c r="A469" s="12"/>
      <c r="B469" s="12"/>
      <c r="C469" s="12"/>
      <c r="D469" s="15"/>
      <c r="E469"/>
      <c r="F469"/>
      <c r="G469" s="3"/>
      <c r="H469" s="3"/>
      <c r="I469" s="3"/>
      <c r="J469" s="3"/>
      <c r="K469"/>
      <c r="L469"/>
      <c r="M469"/>
      <c r="N469" s="3"/>
      <c r="O469" s="3"/>
      <c r="P469" s="3"/>
      <c r="Q469" s="3"/>
      <c r="R469" s="3"/>
      <c r="S469"/>
      <c r="T469"/>
      <c r="U469" s="12"/>
      <c r="V469" s="12"/>
      <c r="W469" s="12"/>
      <c r="X469" s="12"/>
      <c r="Y469" s="12"/>
      <c r="Z469" s="12"/>
      <c r="AA469" s="12"/>
      <c r="AB469" s="12"/>
      <c r="AC469" s="12"/>
      <c r="AD469" s="12"/>
      <c r="AE469" s="12"/>
      <c r="AF469" s="12"/>
      <c r="AG469" s="12"/>
      <c r="AH469" s="12"/>
      <c r="AI469" s="12"/>
    </row>
    <row r="470" spans="1:35" s="10" customFormat="1" x14ac:dyDescent="0.35">
      <c r="A470" s="12"/>
      <c r="B470" s="12"/>
      <c r="C470" s="12"/>
      <c r="D470" s="15"/>
      <c r="E470"/>
      <c r="F470"/>
      <c r="G470" s="3"/>
      <c r="H470" s="3"/>
      <c r="I470" s="3"/>
      <c r="J470" s="3"/>
      <c r="K470"/>
      <c r="L470"/>
      <c r="M470"/>
      <c r="N470" s="3"/>
      <c r="O470" s="3"/>
      <c r="P470" s="3"/>
      <c r="Q470" s="3"/>
      <c r="R470" s="3"/>
      <c r="S470"/>
      <c r="T470"/>
      <c r="U470" s="12"/>
      <c r="V470" s="12"/>
      <c r="W470" s="12"/>
      <c r="X470" s="12"/>
      <c r="Y470" s="12"/>
      <c r="Z470" s="12"/>
      <c r="AA470" s="12"/>
      <c r="AB470" s="12"/>
      <c r="AC470" s="12"/>
      <c r="AD470" s="12"/>
      <c r="AE470" s="12"/>
      <c r="AF470" s="12"/>
      <c r="AG470" s="12"/>
      <c r="AH470" s="12"/>
      <c r="AI470" s="12"/>
    </row>
    <row r="471" spans="1:35" s="10" customFormat="1" x14ac:dyDescent="0.35">
      <c r="A471" s="12"/>
      <c r="B471" s="12"/>
      <c r="C471" s="12"/>
      <c r="D471" s="15"/>
      <c r="E471"/>
      <c r="F471"/>
      <c r="G471" s="3"/>
      <c r="H471" s="3"/>
      <c r="I471" s="3"/>
      <c r="J471" s="3"/>
      <c r="K471"/>
      <c r="L471"/>
      <c r="M471"/>
      <c r="N471" s="3"/>
      <c r="O471" s="3"/>
      <c r="P471" s="3"/>
      <c r="Q471" s="3"/>
      <c r="R471" s="3"/>
      <c r="S471"/>
      <c r="T471"/>
      <c r="U471" s="12"/>
      <c r="V471" s="12"/>
      <c r="W471" s="12"/>
      <c r="X471" s="12"/>
      <c r="Y471" s="12"/>
      <c r="Z471" s="12"/>
      <c r="AA471" s="12"/>
      <c r="AB471" s="12"/>
      <c r="AC471" s="12"/>
      <c r="AD471" s="12"/>
      <c r="AE471" s="12"/>
      <c r="AF471" s="12"/>
      <c r="AG471" s="12"/>
      <c r="AH471" s="12"/>
      <c r="AI471" s="12"/>
    </row>
    <row r="472" spans="1:35" s="10" customFormat="1" x14ac:dyDescent="0.35">
      <c r="A472" s="12"/>
      <c r="B472" s="12"/>
      <c r="C472" s="12"/>
      <c r="D472" s="12"/>
      <c r="E472"/>
      <c r="F472"/>
      <c r="G472" s="3"/>
      <c r="H472" s="3"/>
      <c r="I472" s="3"/>
      <c r="J472" s="3"/>
      <c r="K472"/>
      <c r="L472"/>
      <c r="M472"/>
      <c r="N472" s="3"/>
      <c r="O472" s="3"/>
      <c r="P472" s="3"/>
      <c r="Q472" s="3"/>
      <c r="R472" s="3"/>
      <c r="S472"/>
      <c r="T472"/>
      <c r="U472" s="12"/>
      <c r="V472" s="12"/>
      <c r="W472" s="12"/>
      <c r="X472" s="12"/>
      <c r="Y472" s="12"/>
      <c r="Z472" s="12"/>
      <c r="AA472" s="12"/>
      <c r="AB472" s="12"/>
      <c r="AC472" s="12"/>
      <c r="AD472" s="12"/>
      <c r="AE472" s="12"/>
      <c r="AF472" s="12"/>
      <c r="AG472" s="12"/>
      <c r="AH472" s="12"/>
      <c r="AI472" s="12"/>
    </row>
    <row r="473" spans="1:35" s="10" customFormat="1" x14ac:dyDescent="0.35">
      <c r="A473" s="12"/>
      <c r="B473" s="12"/>
      <c r="C473" s="12"/>
      <c r="D473" s="12"/>
      <c r="E473"/>
      <c r="F473"/>
      <c r="G473" s="3"/>
      <c r="H473" s="3"/>
      <c r="I473" s="3"/>
      <c r="J473" s="3"/>
      <c r="K473"/>
      <c r="L473"/>
      <c r="M473"/>
      <c r="N473" s="3"/>
      <c r="O473" s="3"/>
      <c r="P473" s="3"/>
      <c r="Q473" s="3"/>
      <c r="R473" s="3"/>
      <c r="S473"/>
      <c r="T473"/>
      <c r="U473" s="12"/>
      <c r="V473" s="12"/>
      <c r="W473" s="12"/>
      <c r="X473" s="12"/>
      <c r="Y473" s="12"/>
      <c r="Z473" s="12"/>
      <c r="AA473" s="12"/>
      <c r="AB473" s="12"/>
      <c r="AC473" s="12"/>
      <c r="AD473" s="12"/>
      <c r="AE473" s="12"/>
      <c r="AF473" s="12"/>
      <c r="AG473" s="12"/>
      <c r="AH473" s="12"/>
      <c r="AI473" s="12"/>
    </row>
    <row r="474" spans="1:35" s="10" customFormat="1" x14ac:dyDescent="0.35">
      <c r="A474" s="12"/>
      <c r="B474" s="12"/>
      <c r="C474" s="12"/>
      <c r="D474" s="12"/>
      <c r="E474" s="12"/>
      <c r="G474" s="14"/>
      <c r="H474" s="17"/>
      <c r="I474" s="14"/>
      <c r="M474" s="12"/>
      <c r="T474" s="12"/>
      <c r="U474" s="12"/>
      <c r="V474" s="12"/>
      <c r="W474" s="12"/>
      <c r="X474" s="12"/>
      <c r="Y474" s="12"/>
      <c r="Z474" s="12"/>
      <c r="AA474" s="12"/>
      <c r="AB474" s="12"/>
      <c r="AC474" s="12"/>
      <c r="AD474" s="12"/>
      <c r="AE474" s="12"/>
      <c r="AF474" s="12"/>
      <c r="AG474" s="12"/>
      <c r="AH474" s="12"/>
      <c r="AI474" s="12"/>
    </row>
    <row r="475" spans="1:35" s="10" customFormat="1" x14ac:dyDescent="0.35">
      <c r="A475" s="12"/>
      <c r="B475" s="12"/>
      <c r="C475" s="12"/>
      <c r="D475" s="12"/>
      <c r="E475" s="12"/>
      <c r="G475" s="14"/>
      <c r="H475" s="17"/>
      <c r="I475" s="14"/>
      <c r="M475" s="12"/>
      <c r="T475" s="12"/>
      <c r="U475" s="12"/>
      <c r="V475" s="12"/>
      <c r="W475" s="12"/>
      <c r="X475" s="12"/>
      <c r="Y475" s="12"/>
      <c r="Z475" s="12"/>
      <c r="AA475" s="12"/>
      <c r="AB475" s="12"/>
      <c r="AC475" s="12"/>
      <c r="AD475" s="12"/>
      <c r="AE475" s="12"/>
      <c r="AF475" s="12"/>
      <c r="AG475" s="12"/>
      <c r="AH475" s="12"/>
      <c r="AI475" s="12"/>
    </row>
    <row r="476" spans="1:35" s="10" customFormat="1" x14ac:dyDescent="0.35">
      <c r="A476" s="12"/>
      <c r="B476" s="12"/>
      <c r="C476" s="12"/>
      <c r="D476" s="12"/>
      <c r="E476" s="12"/>
      <c r="G476" s="14"/>
      <c r="H476" s="17"/>
      <c r="I476" s="14"/>
      <c r="M476" s="12"/>
      <c r="T476" s="12"/>
      <c r="U476" s="12"/>
      <c r="V476" s="12"/>
      <c r="W476" s="12"/>
      <c r="X476" s="12"/>
      <c r="Y476" s="12"/>
      <c r="Z476" s="12"/>
      <c r="AA476" s="12"/>
      <c r="AB476" s="12"/>
      <c r="AC476" s="12"/>
      <c r="AD476" s="12"/>
      <c r="AE476" s="12"/>
      <c r="AF476" s="12"/>
      <c r="AG476" s="12"/>
      <c r="AH476" s="12"/>
      <c r="AI476" s="12"/>
    </row>
    <row r="477" spans="1:35" s="10" customFormat="1" x14ac:dyDescent="0.35">
      <c r="A477" s="12"/>
      <c r="B477" s="12"/>
      <c r="C477" s="12"/>
      <c r="D477" s="12"/>
      <c r="E477" s="12"/>
      <c r="G477" s="14"/>
      <c r="H477" s="17"/>
      <c r="I477" s="14"/>
      <c r="M477" s="12"/>
      <c r="T477" s="12"/>
      <c r="U477" s="12"/>
      <c r="V477" s="12"/>
      <c r="W477" s="12"/>
      <c r="X477" s="12"/>
      <c r="Y477" s="12"/>
      <c r="Z477" s="12"/>
      <c r="AA477" s="12"/>
      <c r="AB477" s="12"/>
      <c r="AC477" s="12"/>
      <c r="AD477" s="12"/>
      <c r="AE477" s="12"/>
      <c r="AF477" s="12"/>
      <c r="AG477" s="12"/>
      <c r="AH477" s="12"/>
      <c r="AI477" s="12"/>
    </row>
    <row r="478" spans="1:35" s="10" customFormat="1" x14ac:dyDescent="0.35">
      <c r="A478" s="12"/>
      <c r="B478" s="12"/>
      <c r="C478" s="12"/>
      <c r="D478" s="12"/>
      <c r="E478" s="12"/>
      <c r="G478" s="14"/>
      <c r="H478" s="17"/>
      <c r="I478" s="14"/>
      <c r="M478" s="12"/>
      <c r="T478" s="12"/>
      <c r="U478" s="12"/>
      <c r="V478" s="12"/>
      <c r="W478" s="12"/>
      <c r="X478" s="12"/>
      <c r="Y478" s="12"/>
      <c r="Z478" s="12"/>
      <c r="AA478" s="12"/>
      <c r="AB478" s="12"/>
      <c r="AC478" s="12"/>
      <c r="AD478" s="12"/>
      <c r="AE478" s="12"/>
      <c r="AF478" s="12"/>
      <c r="AG478" s="12"/>
      <c r="AH478" s="12"/>
      <c r="AI478" s="12"/>
    </row>
    <row r="479" spans="1:35" s="10" customFormat="1" x14ac:dyDescent="0.35">
      <c r="A479" s="12"/>
      <c r="B479" s="12"/>
      <c r="C479" s="12"/>
      <c r="D479" s="12"/>
      <c r="E479" s="12"/>
      <c r="G479" s="14"/>
      <c r="H479" s="17"/>
      <c r="I479" s="14"/>
      <c r="M479" s="12"/>
      <c r="T479" s="12"/>
      <c r="U479" s="12"/>
      <c r="V479" s="12"/>
      <c r="W479" s="12"/>
      <c r="X479" s="12"/>
      <c r="Y479" s="12"/>
      <c r="Z479" s="12"/>
      <c r="AA479" s="12"/>
      <c r="AB479" s="12"/>
      <c r="AC479" s="12"/>
      <c r="AD479" s="12"/>
      <c r="AE479" s="12"/>
      <c r="AF479" s="12"/>
      <c r="AG479" s="12"/>
      <c r="AH479" s="12"/>
      <c r="AI479" s="12"/>
    </row>
    <row r="480" spans="1:35" s="10" customFormat="1" x14ac:dyDescent="0.35">
      <c r="A480" s="12"/>
      <c r="B480" s="12"/>
      <c r="C480" s="12"/>
      <c r="D480" s="12"/>
      <c r="E480" s="12"/>
      <c r="G480" s="14"/>
      <c r="H480" s="17"/>
      <c r="I480" s="14"/>
      <c r="M480" s="12"/>
      <c r="T480" s="12"/>
      <c r="U480" s="12"/>
      <c r="V480" s="12"/>
      <c r="W480" s="12"/>
      <c r="X480" s="12"/>
      <c r="Y480" s="12"/>
      <c r="Z480" s="12"/>
      <c r="AA480" s="12"/>
      <c r="AB480" s="12"/>
      <c r="AC480" s="12"/>
      <c r="AD480" s="12"/>
      <c r="AE480" s="12"/>
      <c r="AF480" s="12"/>
      <c r="AG480" s="12"/>
      <c r="AH480" s="12"/>
      <c r="AI480" s="12"/>
    </row>
    <row r="481" spans="1:35" s="10" customFormat="1" x14ac:dyDescent="0.35">
      <c r="A481" s="12"/>
      <c r="B481" s="12"/>
      <c r="C481" s="12"/>
      <c r="D481" s="12"/>
      <c r="E481" s="12"/>
      <c r="G481" s="14"/>
      <c r="H481" s="17"/>
      <c r="I481" s="14"/>
      <c r="M481" s="12"/>
      <c r="T481" s="12"/>
      <c r="U481" s="12"/>
      <c r="V481" s="12"/>
      <c r="W481" s="12"/>
      <c r="X481" s="12"/>
      <c r="Y481" s="12"/>
      <c r="Z481" s="12"/>
      <c r="AA481" s="12"/>
      <c r="AB481" s="12"/>
      <c r="AC481" s="12"/>
      <c r="AD481" s="12"/>
      <c r="AE481" s="12"/>
      <c r="AF481" s="12"/>
      <c r="AG481" s="12"/>
      <c r="AH481" s="12"/>
      <c r="AI481" s="12"/>
    </row>
    <row r="482" spans="1:35" s="10" customFormat="1" x14ac:dyDescent="0.35">
      <c r="A482" s="12"/>
      <c r="B482" s="12"/>
      <c r="C482" s="12"/>
      <c r="D482" s="12"/>
      <c r="E482" s="12"/>
      <c r="G482" s="14"/>
      <c r="H482" s="17"/>
      <c r="I482" s="14"/>
      <c r="M482" s="12"/>
      <c r="T482" s="12"/>
      <c r="U482" s="12"/>
      <c r="V482" s="12"/>
      <c r="W482" s="12"/>
      <c r="X482" s="12"/>
      <c r="Y482" s="12"/>
      <c r="Z482" s="12"/>
      <c r="AA482" s="12"/>
      <c r="AB482" s="12"/>
      <c r="AC482" s="12"/>
      <c r="AD482" s="12"/>
      <c r="AE482" s="12"/>
      <c r="AF482" s="12"/>
      <c r="AG482" s="12"/>
      <c r="AH482" s="12"/>
      <c r="AI482" s="12"/>
    </row>
    <row r="483" spans="1:35" s="10" customFormat="1" x14ac:dyDescent="0.35">
      <c r="A483" s="12"/>
      <c r="B483" s="12"/>
      <c r="C483" s="12"/>
      <c r="D483" s="12"/>
      <c r="E483" s="12"/>
      <c r="G483" s="14"/>
      <c r="H483" s="17"/>
      <c r="I483" s="14"/>
      <c r="M483" s="12"/>
      <c r="T483" s="12"/>
      <c r="U483" s="12"/>
      <c r="V483" s="12"/>
      <c r="W483" s="12"/>
      <c r="X483" s="12"/>
      <c r="Y483" s="12"/>
      <c r="Z483" s="12"/>
      <c r="AA483" s="12"/>
      <c r="AB483" s="12"/>
      <c r="AC483" s="12"/>
      <c r="AD483" s="12"/>
      <c r="AE483" s="12"/>
      <c r="AF483" s="12"/>
      <c r="AG483" s="12"/>
      <c r="AH483" s="12"/>
      <c r="AI483" s="12"/>
    </row>
    <row r="484" spans="1:35" s="10" customFormat="1" x14ac:dyDescent="0.35">
      <c r="A484" s="12"/>
      <c r="B484" s="12"/>
      <c r="C484" s="12"/>
      <c r="D484" s="12"/>
      <c r="E484" s="12"/>
      <c r="G484" s="14"/>
      <c r="H484" s="17"/>
      <c r="I484" s="14"/>
      <c r="M484" s="12"/>
      <c r="T484" s="12"/>
      <c r="U484" s="12"/>
      <c r="V484" s="12"/>
      <c r="W484" s="12"/>
      <c r="X484" s="12"/>
      <c r="Y484" s="12"/>
      <c r="Z484" s="12"/>
      <c r="AA484" s="12"/>
      <c r="AB484" s="12"/>
      <c r="AC484" s="12"/>
      <c r="AD484" s="12"/>
      <c r="AE484" s="12"/>
      <c r="AF484" s="12"/>
      <c r="AG484" s="12"/>
      <c r="AH484" s="12"/>
      <c r="AI484" s="12"/>
    </row>
    <row r="485" spans="1:35" s="10" customFormat="1" x14ac:dyDescent="0.35">
      <c r="A485" s="12"/>
      <c r="B485" s="12"/>
      <c r="C485" s="12"/>
      <c r="D485" s="12"/>
      <c r="E485" s="12"/>
      <c r="G485" s="14"/>
      <c r="H485" s="17"/>
      <c r="I485" s="14"/>
      <c r="M485" s="12"/>
      <c r="T485" s="12"/>
      <c r="U485" s="12"/>
      <c r="V485" s="12"/>
      <c r="W485" s="12"/>
      <c r="X485" s="12"/>
      <c r="Y485" s="12"/>
      <c r="Z485" s="12"/>
      <c r="AA485" s="12"/>
      <c r="AB485" s="12"/>
      <c r="AC485" s="12"/>
      <c r="AD485" s="12"/>
      <c r="AE485" s="12"/>
      <c r="AF485" s="12"/>
      <c r="AG485" s="12"/>
      <c r="AH485" s="12"/>
      <c r="AI485" s="12"/>
    </row>
    <row r="486" spans="1:35" s="10" customFormat="1" x14ac:dyDescent="0.35">
      <c r="A486" s="12"/>
      <c r="B486" s="12"/>
      <c r="C486" s="12"/>
      <c r="D486" s="12"/>
      <c r="E486" s="12"/>
      <c r="G486" s="14"/>
      <c r="H486" s="17"/>
      <c r="I486" s="14"/>
      <c r="M486" s="12"/>
      <c r="T486" s="12"/>
      <c r="U486" s="12"/>
      <c r="V486" s="12"/>
      <c r="W486" s="12"/>
      <c r="X486" s="12"/>
      <c r="Y486" s="12"/>
      <c r="Z486" s="12"/>
      <c r="AA486" s="12"/>
      <c r="AB486" s="12"/>
      <c r="AC486" s="12"/>
      <c r="AD486" s="12"/>
      <c r="AE486" s="12"/>
      <c r="AF486" s="12"/>
      <c r="AG486" s="12"/>
      <c r="AH486" s="12"/>
      <c r="AI486" s="12"/>
    </row>
    <row r="487" spans="1:35" s="10" customFormat="1" x14ac:dyDescent="0.35">
      <c r="A487" s="12"/>
      <c r="B487" s="12"/>
      <c r="C487" s="12"/>
      <c r="D487" s="12"/>
      <c r="E487" s="12"/>
      <c r="G487" s="14"/>
      <c r="H487" s="17"/>
      <c r="I487" s="14"/>
      <c r="M487" s="12"/>
      <c r="T487" s="12"/>
      <c r="U487" s="12"/>
      <c r="V487" s="12"/>
      <c r="W487" s="12"/>
      <c r="X487" s="12"/>
      <c r="Y487" s="12"/>
      <c r="Z487" s="12"/>
      <c r="AA487" s="12"/>
      <c r="AB487" s="12"/>
      <c r="AC487" s="12"/>
      <c r="AD487" s="12"/>
      <c r="AE487" s="12"/>
      <c r="AF487" s="12"/>
      <c r="AG487" s="12"/>
      <c r="AH487" s="12"/>
      <c r="AI487" s="12"/>
    </row>
    <row r="488" spans="1:35" s="10" customFormat="1" x14ac:dyDescent="0.35">
      <c r="A488" s="12"/>
      <c r="B488" s="12"/>
      <c r="C488" s="12"/>
      <c r="D488" s="12"/>
      <c r="E488" s="12"/>
      <c r="G488" s="14"/>
      <c r="H488" s="17"/>
      <c r="I488" s="14"/>
      <c r="M488" s="12"/>
      <c r="T488" s="12"/>
      <c r="U488" s="12"/>
      <c r="V488" s="12"/>
      <c r="W488" s="12"/>
      <c r="X488" s="12"/>
      <c r="Y488" s="12"/>
      <c r="Z488" s="12"/>
      <c r="AA488" s="12"/>
      <c r="AB488" s="12"/>
      <c r="AC488" s="12"/>
      <c r="AD488" s="12"/>
      <c r="AE488" s="12"/>
      <c r="AF488" s="12"/>
      <c r="AG488" s="12"/>
      <c r="AH488" s="12"/>
      <c r="AI488" s="12"/>
    </row>
    <row r="489" spans="1:35" s="10" customFormat="1" x14ac:dyDescent="0.35">
      <c r="A489" s="12"/>
      <c r="B489" s="12"/>
      <c r="C489" s="12"/>
      <c r="D489" s="12"/>
      <c r="E489" s="12"/>
      <c r="G489" s="14"/>
      <c r="H489" s="17"/>
      <c r="I489" s="14"/>
      <c r="M489" s="12"/>
      <c r="T489" s="12"/>
      <c r="U489" s="12"/>
      <c r="V489" s="12"/>
      <c r="W489" s="12"/>
      <c r="X489" s="12"/>
      <c r="Y489" s="12"/>
      <c r="Z489" s="12"/>
      <c r="AA489" s="12"/>
      <c r="AB489" s="12"/>
      <c r="AC489" s="12"/>
      <c r="AD489" s="12"/>
      <c r="AE489" s="12"/>
      <c r="AF489" s="12"/>
      <c r="AG489" s="12"/>
      <c r="AH489" s="12"/>
      <c r="AI489" s="12"/>
    </row>
    <row r="490" spans="1:35" s="10" customFormat="1" x14ac:dyDescent="0.35">
      <c r="A490" s="12"/>
      <c r="B490" s="12"/>
      <c r="C490" s="12"/>
      <c r="D490" s="12"/>
      <c r="E490" s="12"/>
      <c r="G490" s="14"/>
      <c r="H490" s="17"/>
      <c r="I490" s="14"/>
      <c r="M490" s="12"/>
      <c r="T490" s="12"/>
      <c r="U490" s="12"/>
      <c r="V490" s="12"/>
      <c r="W490" s="12"/>
      <c r="X490" s="12"/>
      <c r="Y490" s="12"/>
      <c r="Z490" s="12"/>
      <c r="AA490" s="12"/>
      <c r="AB490" s="12"/>
      <c r="AC490" s="12"/>
      <c r="AD490" s="12"/>
      <c r="AE490" s="12"/>
      <c r="AF490" s="12"/>
      <c r="AG490" s="12"/>
      <c r="AH490" s="12"/>
      <c r="AI490" s="12"/>
    </row>
    <row r="491" spans="1:35" s="10" customFormat="1" x14ac:dyDescent="0.35">
      <c r="A491" s="12"/>
      <c r="B491" s="12"/>
      <c r="C491" s="12"/>
      <c r="D491" s="12"/>
      <c r="E491" s="12"/>
      <c r="G491" s="14"/>
      <c r="H491" s="17"/>
      <c r="I491" s="14"/>
      <c r="M491" s="12"/>
      <c r="T491" s="12"/>
      <c r="U491" s="12"/>
      <c r="V491" s="12"/>
      <c r="W491" s="12"/>
      <c r="X491" s="12"/>
      <c r="Y491" s="12"/>
      <c r="Z491" s="12"/>
      <c r="AA491" s="12"/>
      <c r="AB491" s="12"/>
      <c r="AC491" s="12"/>
      <c r="AD491" s="12"/>
      <c r="AE491" s="12"/>
      <c r="AF491" s="12"/>
      <c r="AG491" s="12"/>
      <c r="AH491" s="12"/>
      <c r="AI491" s="12"/>
    </row>
    <row r="492" spans="1:35" s="10" customFormat="1" x14ac:dyDescent="0.35">
      <c r="A492" s="12"/>
      <c r="B492" s="12"/>
      <c r="C492" s="12"/>
      <c r="D492" s="12"/>
      <c r="E492" s="12"/>
      <c r="G492" s="14"/>
      <c r="H492" s="17"/>
      <c r="I492" s="14"/>
      <c r="M492" s="12"/>
      <c r="T492" s="12"/>
      <c r="U492" s="12"/>
      <c r="V492" s="12"/>
      <c r="W492" s="12"/>
      <c r="X492" s="12"/>
      <c r="Y492" s="12"/>
      <c r="Z492" s="12"/>
      <c r="AA492" s="12"/>
      <c r="AB492" s="12"/>
      <c r="AC492" s="12"/>
      <c r="AD492" s="12"/>
      <c r="AE492" s="12"/>
      <c r="AF492" s="12"/>
      <c r="AG492" s="12"/>
      <c r="AH492" s="12"/>
      <c r="AI492" s="12"/>
    </row>
    <row r="493" spans="1:35" s="10" customFormat="1" x14ac:dyDescent="0.35">
      <c r="A493" s="12"/>
      <c r="B493" s="12"/>
      <c r="C493" s="12"/>
      <c r="D493" s="12"/>
      <c r="E493" s="12"/>
      <c r="G493" s="14"/>
      <c r="H493" s="17"/>
      <c r="I493" s="14"/>
      <c r="M493" s="12"/>
      <c r="T493" s="12"/>
      <c r="U493" s="12"/>
      <c r="V493" s="12"/>
      <c r="W493" s="12"/>
      <c r="X493" s="12"/>
      <c r="Y493" s="12"/>
      <c r="Z493" s="12"/>
      <c r="AA493" s="12"/>
      <c r="AB493" s="12"/>
      <c r="AC493" s="12"/>
      <c r="AD493" s="12"/>
      <c r="AE493" s="12"/>
      <c r="AF493" s="12"/>
      <c r="AG493" s="12"/>
      <c r="AH493" s="12"/>
      <c r="AI493" s="12"/>
    </row>
    <row r="494" spans="1:35" s="10" customFormat="1" x14ac:dyDescent="0.35">
      <c r="A494" s="12"/>
      <c r="B494" s="12"/>
      <c r="C494" s="12"/>
      <c r="D494" s="12"/>
      <c r="E494" s="12"/>
      <c r="G494" s="14"/>
      <c r="H494" s="17"/>
      <c r="I494" s="14"/>
      <c r="M494" s="12"/>
      <c r="T494" s="12"/>
      <c r="U494" s="12"/>
      <c r="V494" s="12"/>
      <c r="W494" s="12"/>
      <c r="X494" s="12"/>
      <c r="Y494" s="12"/>
      <c r="Z494" s="12"/>
      <c r="AA494" s="12"/>
      <c r="AB494" s="12"/>
      <c r="AC494" s="12"/>
      <c r="AD494" s="12"/>
      <c r="AE494" s="12"/>
      <c r="AF494" s="12"/>
      <c r="AG494" s="12"/>
      <c r="AH494" s="12"/>
      <c r="AI494" s="12"/>
    </row>
    <row r="495" spans="1:35" s="10" customFormat="1" x14ac:dyDescent="0.35">
      <c r="A495" s="12"/>
      <c r="B495" s="12"/>
      <c r="C495" s="12"/>
      <c r="D495" s="12"/>
      <c r="E495" s="12"/>
      <c r="G495" s="14"/>
      <c r="H495" s="17"/>
      <c r="I495" s="14"/>
      <c r="M495" s="12"/>
      <c r="T495" s="12"/>
      <c r="U495" s="12"/>
      <c r="V495" s="12"/>
      <c r="W495" s="12"/>
      <c r="X495" s="12"/>
      <c r="Y495" s="12"/>
      <c r="Z495" s="12"/>
      <c r="AA495" s="12"/>
      <c r="AB495" s="12"/>
      <c r="AC495" s="12"/>
      <c r="AD495" s="12"/>
      <c r="AE495" s="12"/>
      <c r="AF495" s="12"/>
      <c r="AG495" s="12"/>
      <c r="AH495" s="12"/>
      <c r="AI495" s="12"/>
    </row>
    <row r="496" spans="1:35" s="10" customFormat="1" x14ac:dyDescent="0.35">
      <c r="A496" s="12"/>
      <c r="B496" s="12"/>
      <c r="C496" s="12"/>
      <c r="D496" s="12"/>
      <c r="E496" s="12"/>
      <c r="G496" s="14"/>
      <c r="H496" s="17"/>
      <c r="I496" s="14"/>
      <c r="M496" s="12"/>
      <c r="T496" s="12"/>
      <c r="U496" s="12"/>
      <c r="V496" s="12"/>
      <c r="W496" s="12"/>
      <c r="X496" s="12"/>
      <c r="Y496" s="12"/>
      <c r="Z496" s="12"/>
      <c r="AA496" s="12"/>
      <c r="AB496" s="12"/>
      <c r="AC496" s="12"/>
      <c r="AD496" s="12"/>
      <c r="AE496" s="12"/>
      <c r="AF496" s="12"/>
      <c r="AG496" s="12"/>
      <c r="AH496" s="12"/>
      <c r="AI496" s="12"/>
    </row>
    <row r="497" spans="1:35" s="10" customFormat="1" x14ac:dyDescent="0.35">
      <c r="A497" s="12"/>
      <c r="B497" s="12"/>
      <c r="C497" s="12"/>
      <c r="D497" s="12"/>
      <c r="E497" s="12"/>
      <c r="G497" s="14"/>
      <c r="H497" s="17"/>
      <c r="I497" s="14"/>
      <c r="M497" s="12"/>
      <c r="T497" s="12"/>
      <c r="U497" s="12"/>
      <c r="V497" s="12"/>
      <c r="W497" s="12"/>
      <c r="X497" s="12"/>
      <c r="Y497" s="12"/>
      <c r="Z497" s="12"/>
      <c r="AA497" s="12"/>
      <c r="AB497" s="12"/>
      <c r="AC497" s="12"/>
      <c r="AD497" s="12"/>
      <c r="AE497" s="12"/>
      <c r="AF497" s="12"/>
      <c r="AG497" s="12"/>
      <c r="AH497" s="12"/>
      <c r="AI497" s="12"/>
    </row>
    <row r="498" spans="1:35" s="10" customFormat="1" x14ac:dyDescent="0.35">
      <c r="A498" s="12"/>
      <c r="B498" s="12"/>
      <c r="C498" s="12"/>
      <c r="D498" s="12"/>
      <c r="E498" s="12"/>
      <c r="G498" s="14"/>
      <c r="H498" s="17"/>
      <c r="I498" s="14"/>
      <c r="M498" s="12"/>
      <c r="T498" s="12"/>
      <c r="U498" s="12"/>
      <c r="V498" s="12"/>
      <c r="W498" s="12"/>
      <c r="X498" s="12"/>
      <c r="Y498" s="12"/>
      <c r="Z498" s="12"/>
      <c r="AA498" s="12"/>
      <c r="AB498" s="12"/>
      <c r="AC498" s="12"/>
      <c r="AD498" s="12"/>
      <c r="AE498" s="12"/>
      <c r="AF498" s="12"/>
      <c r="AG498" s="12"/>
      <c r="AH498" s="12"/>
      <c r="AI498" s="12"/>
    </row>
    <row r="499" spans="1:35" s="10" customFormat="1" x14ac:dyDescent="0.35">
      <c r="A499" s="12"/>
      <c r="B499" s="12"/>
      <c r="C499" s="12"/>
      <c r="D499" s="12"/>
      <c r="E499" s="12"/>
      <c r="G499" s="14"/>
      <c r="H499" s="17"/>
      <c r="I499" s="14"/>
      <c r="M499" s="12"/>
      <c r="T499" s="12"/>
      <c r="U499" s="12"/>
      <c r="V499" s="12"/>
      <c r="W499" s="12"/>
      <c r="X499" s="12"/>
      <c r="Y499" s="12"/>
      <c r="Z499" s="12"/>
      <c r="AA499" s="12"/>
      <c r="AB499" s="12"/>
      <c r="AC499" s="12"/>
      <c r="AD499" s="12"/>
      <c r="AE499" s="12"/>
      <c r="AF499" s="12"/>
      <c r="AG499" s="12"/>
      <c r="AH499" s="12"/>
      <c r="AI499" s="12"/>
    </row>
    <row r="500" spans="1:35" s="10" customFormat="1" x14ac:dyDescent="0.35">
      <c r="A500" s="12"/>
      <c r="B500" s="12"/>
      <c r="C500" s="12"/>
      <c r="D500" s="12"/>
      <c r="E500" s="12"/>
      <c r="G500" s="14"/>
      <c r="H500" s="17"/>
      <c r="I500" s="14"/>
      <c r="M500" s="12"/>
      <c r="T500" s="12"/>
      <c r="U500" s="12"/>
      <c r="V500" s="12"/>
      <c r="W500" s="12"/>
      <c r="X500" s="12"/>
      <c r="Y500" s="12"/>
      <c r="Z500" s="12"/>
      <c r="AA500" s="12"/>
      <c r="AB500" s="12"/>
      <c r="AC500" s="12"/>
      <c r="AD500" s="12"/>
      <c r="AE500" s="12"/>
      <c r="AF500" s="12"/>
      <c r="AG500" s="12"/>
      <c r="AH500" s="12"/>
      <c r="AI500" s="12"/>
    </row>
    <row r="501" spans="1:35" s="10" customFormat="1" x14ac:dyDescent="0.35">
      <c r="A501" s="12"/>
      <c r="B501" s="12"/>
      <c r="C501" s="12"/>
      <c r="D501" s="12"/>
      <c r="E501" s="12"/>
      <c r="G501" s="14"/>
      <c r="H501" s="17"/>
      <c r="I501" s="14"/>
      <c r="M501" s="12"/>
      <c r="T501" s="12"/>
      <c r="U501" s="12"/>
      <c r="V501" s="12"/>
      <c r="W501" s="12"/>
      <c r="X501" s="12"/>
      <c r="Y501" s="12"/>
      <c r="Z501" s="12"/>
      <c r="AA501" s="12"/>
      <c r="AB501" s="12"/>
      <c r="AC501" s="12"/>
      <c r="AD501" s="12"/>
      <c r="AE501" s="12"/>
      <c r="AF501" s="12"/>
      <c r="AG501" s="12"/>
      <c r="AH501" s="12"/>
      <c r="AI501" s="12"/>
    </row>
    <row r="502" spans="1:35" s="10" customFormat="1" x14ac:dyDescent="0.35">
      <c r="A502" s="12"/>
      <c r="B502" s="12"/>
      <c r="C502" s="12"/>
      <c r="D502" s="12"/>
      <c r="E502" s="12"/>
      <c r="G502" s="14"/>
      <c r="H502" s="17"/>
      <c r="I502" s="14"/>
      <c r="M502" s="12"/>
      <c r="T502" s="12"/>
      <c r="U502" s="12"/>
      <c r="V502" s="12"/>
      <c r="W502" s="12"/>
      <c r="X502" s="12"/>
      <c r="Y502" s="12"/>
      <c r="Z502" s="12"/>
      <c r="AA502" s="12"/>
      <c r="AB502" s="12"/>
      <c r="AC502" s="12"/>
      <c r="AD502" s="12"/>
      <c r="AE502" s="12"/>
      <c r="AF502" s="12"/>
      <c r="AG502" s="12"/>
      <c r="AH502" s="12"/>
      <c r="AI502" s="12"/>
    </row>
    <row r="503" spans="1:35" s="10" customFormat="1" x14ac:dyDescent="0.35">
      <c r="A503" s="12"/>
      <c r="B503" s="12"/>
      <c r="C503" s="12"/>
      <c r="D503" s="12"/>
      <c r="E503" s="12"/>
      <c r="G503" s="14"/>
      <c r="H503" s="17"/>
      <c r="I503" s="14"/>
      <c r="M503" s="12"/>
      <c r="T503" s="12"/>
      <c r="U503" s="12"/>
      <c r="V503" s="12"/>
      <c r="W503" s="12"/>
      <c r="X503" s="12"/>
      <c r="Y503" s="12"/>
      <c r="Z503" s="12"/>
      <c r="AA503" s="12"/>
      <c r="AB503" s="12"/>
      <c r="AC503" s="12"/>
      <c r="AD503" s="12"/>
      <c r="AE503" s="12"/>
      <c r="AF503" s="12"/>
      <c r="AG503" s="12"/>
      <c r="AH503" s="12"/>
      <c r="AI503" s="12"/>
    </row>
    <row r="504" spans="1:35" s="10" customFormat="1" x14ac:dyDescent="0.35">
      <c r="A504" s="12"/>
      <c r="B504" s="12"/>
      <c r="C504" s="12"/>
      <c r="D504" s="12"/>
      <c r="E504" s="12"/>
      <c r="G504" s="14"/>
      <c r="H504" s="17"/>
      <c r="I504" s="14"/>
      <c r="M504" s="12"/>
      <c r="T504" s="12"/>
      <c r="U504" s="12"/>
      <c r="V504" s="12"/>
      <c r="W504" s="12"/>
      <c r="X504" s="12"/>
      <c r="Y504" s="12"/>
      <c r="Z504" s="12"/>
      <c r="AA504" s="12"/>
      <c r="AB504" s="12"/>
      <c r="AC504" s="12"/>
      <c r="AD504" s="12"/>
      <c r="AE504" s="12"/>
      <c r="AF504" s="12"/>
      <c r="AG504" s="12"/>
      <c r="AH504" s="12"/>
      <c r="AI504" s="12"/>
    </row>
    <row r="505" spans="1:35" s="10" customFormat="1" x14ac:dyDescent="0.35">
      <c r="A505" s="12"/>
      <c r="B505" s="12"/>
      <c r="C505" s="12"/>
      <c r="D505" s="12"/>
      <c r="E505" s="12"/>
      <c r="G505" s="14"/>
      <c r="H505" s="17"/>
      <c r="I505" s="14"/>
      <c r="M505" s="12"/>
      <c r="T505" s="12"/>
      <c r="U505" s="12"/>
      <c r="V505" s="12"/>
      <c r="W505" s="12"/>
      <c r="X505" s="12"/>
      <c r="Y505" s="12"/>
      <c r="Z505" s="12"/>
      <c r="AA505" s="12"/>
      <c r="AB505" s="12"/>
      <c r="AC505" s="12"/>
      <c r="AD505" s="12"/>
      <c r="AE505" s="12"/>
      <c r="AF505" s="12"/>
      <c r="AG505" s="12"/>
      <c r="AH505" s="12"/>
      <c r="AI505" s="12"/>
    </row>
    <row r="506" spans="1:35" s="10" customFormat="1" x14ac:dyDescent="0.35">
      <c r="A506" s="12"/>
      <c r="B506" s="12"/>
      <c r="C506" s="12"/>
      <c r="D506" s="12"/>
      <c r="E506" s="12"/>
      <c r="G506" s="14"/>
      <c r="H506" s="17"/>
      <c r="I506" s="14"/>
      <c r="M506" s="12"/>
      <c r="T506" s="12"/>
      <c r="U506" s="12"/>
      <c r="V506" s="12"/>
      <c r="W506" s="12"/>
      <c r="X506" s="12"/>
      <c r="Y506" s="12"/>
      <c r="Z506" s="12"/>
      <c r="AA506" s="12"/>
      <c r="AB506" s="12"/>
      <c r="AC506" s="12"/>
      <c r="AD506" s="12"/>
      <c r="AE506" s="12"/>
      <c r="AF506" s="12"/>
      <c r="AG506" s="12"/>
      <c r="AH506" s="12"/>
      <c r="AI506" s="12"/>
    </row>
    <row r="507" spans="1:35" s="10" customFormat="1" x14ac:dyDescent="0.35">
      <c r="A507" s="12"/>
      <c r="B507" s="12"/>
      <c r="C507" s="12"/>
      <c r="D507" s="12"/>
      <c r="E507" s="12"/>
      <c r="G507" s="14"/>
      <c r="H507" s="17"/>
      <c r="I507" s="14"/>
      <c r="M507" s="12"/>
      <c r="T507" s="12"/>
      <c r="U507" s="12"/>
      <c r="V507" s="12"/>
      <c r="W507" s="12"/>
      <c r="X507" s="12"/>
      <c r="Y507" s="12"/>
      <c r="Z507" s="12"/>
      <c r="AA507" s="12"/>
      <c r="AB507" s="12"/>
      <c r="AC507" s="12"/>
      <c r="AD507" s="12"/>
      <c r="AE507" s="12"/>
      <c r="AF507" s="12"/>
      <c r="AG507" s="12"/>
      <c r="AH507" s="12"/>
      <c r="AI507" s="12"/>
    </row>
    <row r="508" spans="1:35" s="10" customFormat="1" x14ac:dyDescent="0.35">
      <c r="A508" s="12"/>
      <c r="B508" s="12"/>
      <c r="C508" s="12"/>
      <c r="D508" s="12"/>
      <c r="E508" s="12"/>
      <c r="G508" s="14"/>
      <c r="H508" s="17"/>
      <c r="I508" s="14"/>
      <c r="M508" s="12"/>
      <c r="T508" s="12"/>
      <c r="U508" s="12"/>
      <c r="V508" s="12"/>
      <c r="W508" s="12"/>
      <c r="X508" s="12"/>
      <c r="Y508" s="12"/>
      <c r="Z508" s="12"/>
      <c r="AA508" s="12"/>
      <c r="AB508" s="12"/>
      <c r="AC508" s="12"/>
      <c r="AD508" s="12"/>
      <c r="AE508" s="12"/>
      <c r="AF508" s="12"/>
      <c r="AG508" s="12"/>
      <c r="AH508" s="12"/>
      <c r="AI508" s="12"/>
    </row>
    <row r="509" spans="1:35" s="10" customFormat="1" x14ac:dyDescent="0.35">
      <c r="A509" s="12"/>
      <c r="B509" s="12"/>
      <c r="C509" s="12"/>
      <c r="D509" s="12"/>
      <c r="E509" s="12"/>
      <c r="G509" s="14"/>
      <c r="H509" s="17"/>
      <c r="I509" s="14"/>
      <c r="M509" s="12"/>
      <c r="T509" s="12"/>
      <c r="U509" s="12"/>
      <c r="V509" s="12"/>
      <c r="W509" s="12"/>
      <c r="X509" s="12"/>
      <c r="Y509" s="12"/>
      <c r="Z509" s="12"/>
      <c r="AA509" s="12"/>
      <c r="AB509" s="12"/>
      <c r="AC509" s="12"/>
      <c r="AD509" s="12"/>
      <c r="AE509" s="12"/>
      <c r="AF509" s="12"/>
      <c r="AG509" s="12"/>
      <c r="AH509" s="12"/>
      <c r="AI509" s="12"/>
    </row>
    <row r="510" spans="1:35" s="10" customFormat="1" x14ac:dyDescent="0.35">
      <c r="A510" s="12"/>
      <c r="B510" s="12"/>
      <c r="C510" s="12"/>
      <c r="D510" s="12"/>
      <c r="E510" s="12"/>
      <c r="G510" s="14"/>
      <c r="H510" s="17"/>
      <c r="I510" s="14"/>
      <c r="M510" s="12"/>
      <c r="T510" s="12"/>
      <c r="U510" s="12"/>
      <c r="V510" s="12"/>
      <c r="W510" s="12"/>
      <c r="X510" s="12"/>
      <c r="Y510" s="12"/>
      <c r="Z510" s="12"/>
      <c r="AA510" s="12"/>
      <c r="AB510" s="12"/>
      <c r="AC510" s="12"/>
      <c r="AD510" s="12"/>
      <c r="AE510" s="12"/>
      <c r="AF510" s="12"/>
      <c r="AG510" s="12"/>
      <c r="AH510" s="12"/>
      <c r="AI510" s="12"/>
    </row>
    <row r="511" spans="1:35" s="10" customFormat="1" x14ac:dyDescent="0.35">
      <c r="A511" s="12"/>
      <c r="B511" s="12"/>
      <c r="C511" s="12"/>
      <c r="D511" s="12"/>
      <c r="E511" s="12"/>
      <c r="G511" s="14"/>
      <c r="H511" s="17"/>
      <c r="I511" s="14"/>
      <c r="M511" s="12"/>
      <c r="T511" s="12"/>
      <c r="U511" s="12"/>
      <c r="V511" s="12"/>
      <c r="W511" s="12"/>
      <c r="X511" s="12"/>
      <c r="Y511" s="12"/>
      <c r="Z511" s="12"/>
      <c r="AA511" s="12"/>
      <c r="AB511" s="12"/>
      <c r="AC511" s="12"/>
      <c r="AD511" s="12"/>
      <c r="AE511" s="12"/>
      <c r="AF511" s="12"/>
      <c r="AG511" s="12"/>
      <c r="AH511" s="12"/>
      <c r="AI511" s="12"/>
    </row>
    <row r="515" spans="1:35" s="10" customFormat="1" x14ac:dyDescent="0.35">
      <c r="A515" s="12"/>
      <c r="B515" s="12"/>
      <c r="C515" s="12"/>
      <c r="D515" s="12"/>
      <c r="E515" s="12"/>
      <c r="I515" s="14"/>
      <c r="M515" s="12"/>
      <c r="T515" s="12"/>
      <c r="U515" s="12"/>
      <c r="V515" s="12"/>
      <c r="W515" s="12"/>
      <c r="X515" s="12"/>
      <c r="Y515" s="12"/>
      <c r="Z515" s="12"/>
      <c r="AA515" s="12"/>
      <c r="AB515" s="12"/>
      <c r="AC515" s="12"/>
      <c r="AD515" s="12"/>
      <c r="AE515" s="12"/>
      <c r="AF515" s="12"/>
      <c r="AG515" s="12"/>
      <c r="AH515" s="12"/>
      <c r="AI515" s="12"/>
    </row>
    <row r="516" spans="1:35" s="10" customFormat="1" x14ac:dyDescent="0.35">
      <c r="A516" s="12"/>
      <c r="B516" s="12"/>
      <c r="C516" s="12"/>
      <c r="D516" s="12"/>
      <c r="E516" s="12"/>
      <c r="I516" s="14"/>
      <c r="M516" s="12"/>
      <c r="T516" s="12"/>
      <c r="U516" s="12"/>
      <c r="V516" s="12"/>
      <c r="W516" s="12"/>
      <c r="X516" s="12"/>
      <c r="Y516" s="12"/>
      <c r="Z516" s="12"/>
      <c r="AA516" s="12"/>
      <c r="AB516" s="12"/>
      <c r="AC516" s="12"/>
      <c r="AD516" s="12"/>
      <c r="AE516" s="12"/>
      <c r="AF516" s="12"/>
      <c r="AG516" s="12"/>
      <c r="AH516" s="12"/>
      <c r="AI516" s="12"/>
    </row>
    <row r="517" spans="1:35" s="10" customFormat="1" x14ac:dyDescent="0.35">
      <c r="A517" s="12"/>
      <c r="B517" s="12"/>
      <c r="C517" s="12"/>
      <c r="D517" s="12"/>
      <c r="E517" s="12"/>
      <c r="I517" s="14"/>
      <c r="M517" s="12"/>
      <c r="T517" s="12"/>
      <c r="U517" s="12"/>
      <c r="V517" s="12"/>
      <c r="W517" s="12"/>
      <c r="X517" s="12"/>
      <c r="Y517" s="12"/>
      <c r="Z517" s="12"/>
      <c r="AA517" s="12"/>
      <c r="AB517" s="12"/>
      <c r="AC517" s="12"/>
      <c r="AD517" s="12"/>
      <c r="AE517" s="12"/>
      <c r="AF517" s="12"/>
      <c r="AG517" s="12"/>
      <c r="AH517" s="12"/>
      <c r="AI517" s="12"/>
    </row>
    <row r="518" spans="1:35" s="10" customFormat="1" x14ac:dyDescent="0.35">
      <c r="A518" s="12"/>
      <c r="B518" s="12"/>
      <c r="C518" s="12"/>
      <c r="D518" s="12"/>
      <c r="E518" s="12"/>
      <c r="I518" s="14"/>
      <c r="M518" s="12"/>
      <c r="T518" s="12"/>
      <c r="U518" s="12"/>
      <c r="V518" s="12"/>
      <c r="W518" s="12"/>
      <c r="X518" s="12"/>
      <c r="Y518" s="12"/>
      <c r="Z518" s="12"/>
      <c r="AA518" s="12"/>
      <c r="AB518" s="12"/>
      <c r="AC518" s="12"/>
      <c r="AD518" s="12"/>
      <c r="AE518" s="12"/>
      <c r="AF518" s="12"/>
      <c r="AG518" s="12"/>
      <c r="AH518" s="12"/>
      <c r="AI518" s="12"/>
    </row>
    <row r="519" spans="1:35" s="10" customFormat="1" x14ac:dyDescent="0.35">
      <c r="A519" s="12"/>
      <c r="B519" s="12"/>
      <c r="C519" s="12"/>
      <c r="D519" s="12"/>
      <c r="E519" s="12"/>
      <c r="I519" s="14"/>
      <c r="M519" s="12"/>
      <c r="T519" s="12"/>
      <c r="U519" s="12"/>
      <c r="V519" s="12"/>
      <c r="W519" s="12"/>
      <c r="X519" s="12"/>
      <c r="Y519" s="12"/>
      <c r="Z519" s="12"/>
      <c r="AA519" s="12"/>
      <c r="AB519" s="12"/>
      <c r="AC519" s="12"/>
      <c r="AD519" s="12"/>
      <c r="AE519" s="12"/>
      <c r="AF519" s="12"/>
      <c r="AG519" s="12"/>
      <c r="AH519" s="12"/>
      <c r="AI519" s="12"/>
    </row>
    <row r="520" spans="1:35" s="10" customFormat="1" x14ac:dyDescent="0.35">
      <c r="A520" s="12"/>
      <c r="B520" s="12"/>
      <c r="C520" s="12"/>
      <c r="D520" s="12"/>
      <c r="E520" s="12"/>
      <c r="I520" s="14"/>
      <c r="M520" s="12"/>
      <c r="T520" s="12"/>
      <c r="U520" s="12"/>
      <c r="V520" s="12"/>
      <c r="W520" s="12"/>
      <c r="X520" s="12"/>
      <c r="Y520" s="12"/>
      <c r="Z520" s="12"/>
      <c r="AA520" s="12"/>
      <c r="AB520" s="12"/>
      <c r="AC520" s="12"/>
      <c r="AD520" s="12"/>
      <c r="AE520" s="12"/>
      <c r="AF520" s="12"/>
      <c r="AG520" s="12"/>
      <c r="AH520" s="12"/>
      <c r="AI520" s="12"/>
    </row>
    <row r="521" spans="1:35" s="10" customFormat="1" x14ac:dyDescent="0.35">
      <c r="A521" s="12"/>
      <c r="B521" s="12"/>
      <c r="C521" s="12"/>
      <c r="D521" s="12"/>
      <c r="E521" s="12"/>
      <c r="I521" s="14"/>
      <c r="M521" s="12"/>
      <c r="T521" s="12"/>
      <c r="U521" s="12"/>
      <c r="V521" s="12"/>
      <c r="W521" s="12"/>
      <c r="X521" s="12"/>
      <c r="Y521" s="12"/>
      <c r="Z521" s="12"/>
      <c r="AA521" s="12"/>
      <c r="AB521" s="12"/>
      <c r="AC521" s="12"/>
      <c r="AD521" s="12"/>
      <c r="AE521" s="12"/>
      <c r="AF521" s="12"/>
      <c r="AG521" s="12"/>
      <c r="AH521" s="12"/>
      <c r="AI521" s="12"/>
    </row>
    <row r="522" spans="1:35" s="10" customFormat="1" x14ac:dyDescent="0.35">
      <c r="A522" s="12"/>
      <c r="B522" s="12"/>
      <c r="C522" s="12"/>
      <c r="D522" s="12"/>
      <c r="E522" s="12"/>
      <c r="I522" s="14"/>
      <c r="M522" s="12"/>
      <c r="T522" s="12"/>
      <c r="U522" s="12"/>
      <c r="V522" s="12"/>
      <c r="W522" s="12"/>
      <c r="X522" s="12"/>
      <c r="Y522" s="12"/>
      <c r="Z522" s="12"/>
      <c r="AA522" s="12"/>
      <c r="AB522" s="12"/>
      <c r="AC522" s="12"/>
      <c r="AD522" s="12"/>
      <c r="AE522" s="12"/>
      <c r="AF522" s="12"/>
      <c r="AG522" s="12"/>
      <c r="AH522" s="12"/>
      <c r="AI522" s="12"/>
    </row>
    <row r="523" spans="1:35" s="10" customFormat="1" x14ac:dyDescent="0.35">
      <c r="A523" s="12"/>
      <c r="B523" s="12"/>
      <c r="C523" s="12"/>
      <c r="D523" s="12"/>
      <c r="E523" s="12"/>
      <c r="I523" s="14"/>
      <c r="M523" s="12"/>
      <c r="T523" s="12"/>
      <c r="U523" s="12"/>
      <c r="V523" s="12"/>
      <c r="W523" s="12"/>
      <c r="X523" s="12"/>
      <c r="Y523" s="12"/>
      <c r="Z523" s="12"/>
      <c r="AA523" s="12"/>
      <c r="AB523" s="12"/>
      <c r="AC523" s="12"/>
      <c r="AD523" s="12"/>
      <c r="AE523" s="12"/>
      <c r="AF523" s="12"/>
      <c r="AG523" s="12"/>
      <c r="AH523" s="12"/>
      <c r="AI523" s="12"/>
    </row>
    <row r="524" spans="1:35" s="10" customFormat="1" x14ac:dyDescent="0.35">
      <c r="A524" s="12"/>
      <c r="B524" s="12"/>
      <c r="C524" s="12"/>
      <c r="D524" s="12"/>
      <c r="E524" s="12"/>
      <c r="I524" s="14"/>
      <c r="M524" s="12"/>
      <c r="T524" s="12"/>
      <c r="U524" s="12"/>
      <c r="V524" s="12"/>
      <c r="W524" s="12"/>
      <c r="X524" s="12"/>
      <c r="Y524" s="12"/>
      <c r="Z524" s="12"/>
      <c r="AA524" s="12"/>
      <c r="AB524" s="12"/>
      <c r="AC524" s="12"/>
      <c r="AD524" s="12"/>
      <c r="AE524" s="12"/>
      <c r="AF524" s="12"/>
      <c r="AG524" s="12"/>
      <c r="AH524" s="12"/>
      <c r="AI524" s="12"/>
    </row>
    <row r="525" spans="1:35" s="10" customFormat="1" x14ac:dyDescent="0.35">
      <c r="A525" s="12"/>
      <c r="B525" s="12"/>
      <c r="C525" s="12"/>
      <c r="D525" s="12"/>
      <c r="E525" s="12"/>
      <c r="I525" s="14"/>
      <c r="M525" s="12"/>
      <c r="T525" s="12"/>
      <c r="U525" s="12"/>
      <c r="V525" s="12"/>
      <c r="W525" s="12"/>
      <c r="X525" s="12"/>
      <c r="Y525" s="12"/>
      <c r="Z525" s="12"/>
      <c r="AA525" s="12"/>
      <c r="AB525" s="12"/>
      <c r="AC525" s="12"/>
      <c r="AD525" s="12"/>
      <c r="AE525" s="12"/>
      <c r="AF525" s="12"/>
      <c r="AG525" s="12"/>
      <c r="AH525" s="12"/>
      <c r="AI525" s="12"/>
    </row>
    <row r="526" spans="1:35" s="10" customFormat="1" x14ac:dyDescent="0.35">
      <c r="A526" s="12"/>
      <c r="B526" s="12"/>
      <c r="C526" s="12"/>
      <c r="D526" s="12"/>
      <c r="E526" s="12"/>
      <c r="I526" s="14"/>
      <c r="M526" s="12"/>
      <c r="T526" s="12"/>
      <c r="U526" s="12"/>
      <c r="V526" s="12"/>
      <c r="W526" s="12"/>
      <c r="X526" s="12"/>
      <c r="Y526" s="12"/>
      <c r="Z526" s="12"/>
      <c r="AA526" s="12"/>
      <c r="AB526" s="12"/>
      <c r="AC526" s="12"/>
      <c r="AD526" s="12"/>
      <c r="AE526" s="12"/>
      <c r="AF526" s="12"/>
      <c r="AG526" s="12"/>
      <c r="AH526" s="12"/>
      <c r="AI526" s="12"/>
    </row>
    <row r="527" spans="1:35" s="10" customFormat="1" x14ac:dyDescent="0.35">
      <c r="A527" s="12"/>
      <c r="B527" s="12"/>
      <c r="C527" s="12"/>
      <c r="D527" s="12"/>
      <c r="E527" s="12"/>
      <c r="I527" s="14"/>
      <c r="M527" s="12"/>
      <c r="T527" s="12"/>
      <c r="U527" s="12"/>
      <c r="V527" s="12"/>
      <c r="W527" s="12"/>
      <c r="X527" s="12"/>
      <c r="Y527" s="12"/>
      <c r="Z527" s="12"/>
      <c r="AA527" s="12"/>
      <c r="AB527" s="12"/>
      <c r="AC527" s="12"/>
      <c r="AD527" s="12"/>
      <c r="AE527" s="12"/>
      <c r="AF527" s="12"/>
      <c r="AG527" s="12"/>
      <c r="AH527" s="12"/>
      <c r="AI527" s="12"/>
    </row>
    <row r="528" spans="1:35" s="10" customFormat="1" x14ac:dyDescent="0.35">
      <c r="A528" s="12"/>
      <c r="B528" s="12"/>
      <c r="C528" s="12"/>
      <c r="D528" s="12"/>
      <c r="E528" s="12"/>
      <c r="I528" s="14"/>
      <c r="M528" s="12"/>
      <c r="T528" s="12"/>
      <c r="U528" s="12"/>
      <c r="V528" s="12"/>
      <c r="W528" s="12"/>
      <c r="X528" s="12"/>
      <c r="Y528" s="12"/>
      <c r="Z528" s="12"/>
      <c r="AA528" s="12"/>
      <c r="AB528" s="12"/>
      <c r="AC528" s="12"/>
      <c r="AD528" s="12"/>
      <c r="AE528" s="12"/>
      <c r="AF528" s="12"/>
      <c r="AG528" s="12"/>
      <c r="AH528" s="12"/>
      <c r="AI528" s="12"/>
    </row>
    <row r="529" spans="1:35" s="10" customFormat="1" x14ac:dyDescent="0.35">
      <c r="A529" s="12"/>
      <c r="B529" s="12"/>
      <c r="C529" s="12"/>
      <c r="D529" s="12"/>
      <c r="E529" s="12"/>
      <c r="I529" s="14"/>
      <c r="M529" s="12"/>
      <c r="T529" s="12"/>
      <c r="U529" s="12"/>
      <c r="V529" s="12"/>
      <c r="W529" s="12"/>
      <c r="X529" s="12"/>
      <c r="Y529" s="12"/>
      <c r="Z529" s="12"/>
      <c r="AA529" s="12"/>
      <c r="AB529" s="12"/>
      <c r="AC529" s="12"/>
      <c r="AD529" s="12"/>
      <c r="AE529" s="12"/>
      <c r="AF529" s="12"/>
      <c r="AG529" s="12"/>
      <c r="AH529" s="12"/>
      <c r="AI529" s="12"/>
    </row>
    <row r="530" spans="1:35" s="10" customFormat="1" x14ac:dyDescent="0.35">
      <c r="A530" s="12"/>
      <c r="B530" s="12"/>
      <c r="C530" s="12"/>
      <c r="D530" s="12"/>
      <c r="E530" s="12"/>
      <c r="I530" s="14"/>
      <c r="M530" s="12"/>
      <c r="T530" s="12"/>
      <c r="U530" s="12"/>
      <c r="V530" s="12"/>
      <c r="W530" s="12"/>
      <c r="X530" s="12"/>
      <c r="Y530" s="12"/>
      <c r="Z530" s="12"/>
      <c r="AA530" s="12"/>
      <c r="AB530" s="12"/>
      <c r="AC530" s="12"/>
      <c r="AD530" s="12"/>
      <c r="AE530" s="12"/>
      <c r="AF530" s="12"/>
      <c r="AG530" s="12"/>
      <c r="AH530" s="12"/>
      <c r="AI530" s="12"/>
    </row>
    <row r="531" spans="1:35" s="10" customFormat="1" x14ac:dyDescent="0.35">
      <c r="A531" s="12"/>
      <c r="B531" s="12"/>
      <c r="C531" s="12"/>
      <c r="D531" s="12"/>
      <c r="E531" s="12"/>
      <c r="I531" s="14"/>
      <c r="M531" s="12"/>
      <c r="T531" s="12"/>
      <c r="U531" s="12"/>
      <c r="V531" s="12"/>
      <c r="W531" s="12"/>
      <c r="X531" s="12"/>
      <c r="Y531" s="12"/>
      <c r="Z531" s="12"/>
      <c r="AA531" s="12"/>
      <c r="AB531" s="12"/>
      <c r="AC531" s="12"/>
      <c r="AD531" s="12"/>
      <c r="AE531" s="12"/>
      <c r="AF531" s="12"/>
      <c r="AG531" s="12"/>
      <c r="AH531" s="12"/>
      <c r="AI531" s="12"/>
    </row>
    <row r="532" spans="1:35" s="10" customFormat="1" x14ac:dyDescent="0.35">
      <c r="A532" s="12"/>
      <c r="B532" s="12"/>
      <c r="C532" s="12"/>
      <c r="D532" s="12"/>
      <c r="E532" s="12"/>
      <c r="I532" s="14"/>
      <c r="M532" s="12"/>
      <c r="T532" s="12"/>
      <c r="U532" s="12"/>
      <c r="V532" s="12"/>
      <c r="W532" s="12"/>
      <c r="X532" s="12"/>
      <c r="Y532" s="12"/>
      <c r="Z532" s="12"/>
      <c r="AA532" s="12"/>
      <c r="AB532" s="12"/>
      <c r="AC532" s="12"/>
      <c r="AD532" s="12"/>
      <c r="AE532" s="12"/>
      <c r="AF532" s="12"/>
      <c r="AG532" s="12"/>
      <c r="AH532" s="12"/>
      <c r="AI532" s="12"/>
    </row>
    <row r="533" spans="1:35" s="10" customFormat="1" x14ac:dyDescent="0.35">
      <c r="A533" s="12"/>
      <c r="B533" s="12"/>
      <c r="C533" s="12"/>
      <c r="D533" s="12"/>
      <c r="E533" s="12"/>
      <c r="I533" s="14"/>
      <c r="M533" s="12"/>
      <c r="T533" s="12"/>
      <c r="U533" s="12"/>
      <c r="V533" s="12"/>
      <c r="W533" s="12"/>
      <c r="X533" s="12"/>
      <c r="Y533" s="12"/>
      <c r="Z533" s="12"/>
      <c r="AA533" s="12"/>
      <c r="AB533" s="12"/>
      <c r="AC533" s="12"/>
      <c r="AD533" s="12"/>
      <c r="AE533" s="12"/>
      <c r="AF533" s="12"/>
      <c r="AG533" s="12"/>
      <c r="AH533" s="12"/>
      <c r="AI533" s="12"/>
    </row>
    <row r="534" spans="1:35" s="10" customFormat="1" x14ac:dyDescent="0.35">
      <c r="A534" s="12"/>
      <c r="B534" s="12"/>
      <c r="C534" s="12"/>
      <c r="D534" s="12"/>
      <c r="E534" s="12"/>
      <c r="I534" s="14"/>
      <c r="M534" s="12"/>
      <c r="T534" s="12"/>
      <c r="U534" s="12"/>
      <c r="V534" s="12"/>
      <c r="W534" s="12"/>
      <c r="X534" s="12"/>
      <c r="Y534" s="12"/>
      <c r="Z534" s="12"/>
      <c r="AA534" s="12"/>
      <c r="AB534" s="12"/>
      <c r="AC534" s="12"/>
      <c r="AD534" s="12"/>
      <c r="AE534" s="12"/>
      <c r="AF534" s="12"/>
      <c r="AG534" s="12"/>
      <c r="AH534" s="12"/>
      <c r="AI534" s="12"/>
    </row>
    <row r="535" spans="1:35" s="10" customFormat="1" x14ac:dyDescent="0.35">
      <c r="A535" s="12"/>
      <c r="B535" s="12"/>
      <c r="C535" s="12"/>
      <c r="D535" s="12"/>
      <c r="E535" s="12"/>
      <c r="I535" s="14"/>
      <c r="M535" s="12"/>
      <c r="T535" s="12"/>
      <c r="U535" s="12"/>
      <c r="V535" s="12"/>
      <c r="W535" s="12"/>
      <c r="X535" s="12"/>
      <c r="Y535" s="12"/>
      <c r="Z535" s="12"/>
      <c r="AA535" s="12"/>
      <c r="AB535" s="12"/>
      <c r="AC535" s="12"/>
      <c r="AD535" s="12"/>
      <c r="AE535" s="12"/>
      <c r="AF535" s="12"/>
      <c r="AG535" s="12"/>
      <c r="AH535" s="12"/>
      <c r="AI535" s="12"/>
    </row>
    <row r="536" spans="1:35" s="10" customFormat="1" x14ac:dyDescent="0.35">
      <c r="A536" s="12"/>
      <c r="B536" s="12"/>
      <c r="C536" s="12"/>
      <c r="D536" s="12"/>
      <c r="E536" s="12"/>
      <c r="I536" s="14"/>
      <c r="M536" s="12"/>
      <c r="T536" s="12"/>
      <c r="U536" s="12"/>
      <c r="V536" s="12"/>
      <c r="W536" s="12"/>
      <c r="X536" s="12"/>
      <c r="Y536" s="12"/>
      <c r="Z536" s="12"/>
      <c r="AA536" s="12"/>
      <c r="AB536" s="12"/>
      <c r="AC536" s="12"/>
      <c r="AD536" s="12"/>
      <c r="AE536" s="12"/>
      <c r="AF536" s="12"/>
      <c r="AG536" s="12"/>
      <c r="AH536" s="12"/>
      <c r="AI536" s="12"/>
    </row>
    <row r="537" spans="1:35" s="10" customFormat="1" x14ac:dyDescent="0.35">
      <c r="A537" s="12"/>
      <c r="B537" s="12"/>
      <c r="C537" s="12"/>
      <c r="D537" s="12"/>
      <c r="E537" s="12"/>
      <c r="I537" s="14"/>
      <c r="M537" s="12"/>
      <c r="T537" s="12"/>
      <c r="U537" s="12"/>
      <c r="V537" s="12"/>
      <c r="W537" s="12"/>
      <c r="X537" s="12"/>
      <c r="Y537" s="12"/>
      <c r="Z537" s="12"/>
      <c r="AA537" s="12"/>
      <c r="AB537" s="12"/>
      <c r="AC537" s="12"/>
      <c r="AD537" s="12"/>
      <c r="AE537" s="12"/>
      <c r="AF537" s="12"/>
      <c r="AG537" s="12"/>
      <c r="AH537" s="12"/>
      <c r="AI537" s="12"/>
    </row>
    <row r="538" spans="1:35" s="10" customFormat="1" x14ac:dyDescent="0.35">
      <c r="A538" s="12"/>
      <c r="B538" s="12"/>
      <c r="C538" s="12"/>
      <c r="D538" s="12"/>
      <c r="E538" s="12"/>
      <c r="I538" s="14"/>
      <c r="M538" s="12"/>
      <c r="T538" s="12"/>
      <c r="U538" s="12"/>
      <c r="V538" s="12"/>
      <c r="W538" s="12"/>
      <c r="X538" s="12"/>
      <c r="Y538" s="12"/>
      <c r="Z538" s="12"/>
      <c r="AA538" s="12"/>
      <c r="AB538" s="12"/>
      <c r="AC538" s="12"/>
      <c r="AD538" s="12"/>
      <c r="AE538" s="12"/>
      <c r="AF538" s="12"/>
      <c r="AG538" s="12"/>
      <c r="AH538" s="12"/>
      <c r="AI538" s="12"/>
    </row>
    <row r="539" spans="1:35" s="10" customFormat="1" x14ac:dyDescent="0.35">
      <c r="A539" s="12"/>
      <c r="B539" s="12"/>
      <c r="C539" s="12"/>
      <c r="D539" s="12"/>
      <c r="E539" s="12"/>
      <c r="I539" s="14"/>
      <c r="M539" s="12"/>
      <c r="T539" s="12"/>
      <c r="U539" s="12"/>
      <c r="V539" s="12"/>
      <c r="W539" s="12"/>
      <c r="X539" s="12"/>
      <c r="Y539" s="12"/>
      <c r="Z539" s="12"/>
      <c r="AA539" s="12"/>
      <c r="AB539" s="12"/>
      <c r="AC539" s="12"/>
      <c r="AD539" s="12"/>
      <c r="AE539" s="12"/>
      <c r="AF539" s="12"/>
      <c r="AG539" s="12"/>
      <c r="AH539" s="12"/>
      <c r="AI539" s="12"/>
    </row>
    <row r="540" spans="1:35" s="10" customFormat="1" x14ac:dyDescent="0.35">
      <c r="A540" s="12"/>
      <c r="B540" s="12"/>
      <c r="C540" s="12"/>
      <c r="D540" s="12"/>
      <c r="E540" s="12"/>
      <c r="I540" s="14"/>
      <c r="M540" s="12"/>
      <c r="T540" s="12"/>
      <c r="U540" s="12"/>
      <c r="V540" s="12"/>
      <c r="W540" s="12"/>
      <c r="X540" s="12"/>
      <c r="Y540" s="12"/>
      <c r="Z540" s="12"/>
      <c r="AA540" s="12"/>
      <c r="AB540" s="12"/>
      <c r="AC540" s="12"/>
      <c r="AD540" s="12"/>
      <c r="AE540" s="12"/>
      <c r="AF540" s="12"/>
      <c r="AG540" s="12"/>
      <c r="AH540" s="12"/>
      <c r="AI540" s="12"/>
    </row>
    <row r="541" spans="1:35" s="10" customFormat="1" x14ac:dyDescent="0.35">
      <c r="A541" s="12"/>
      <c r="B541" s="12"/>
      <c r="C541" s="12"/>
      <c r="D541" s="12"/>
      <c r="E541" s="12"/>
      <c r="I541" s="14"/>
      <c r="M541" s="12"/>
      <c r="T541" s="12"/>
      <c r="U541" s="12"/>
      <c r="V541" s="12"/>
      <c r="W541" s="12"/>
      <c r="X541" s="12"/>
      <c r="Y541" s="12"/>
      <c r="Z541" s="12"/>
      <c r="AA541" s="12"/>
      <c r="AB541" s="12"/>
      <c r="AC541" s="12"/>
      <c r="AD541" s="12"/>
      <c r="AE541" s="12"/>
      <c r="AF541" s="12"/>
      <c r="AG541" s="12"/>
      <c r="AH541" s="12"/>
      <c r="AI541" s="12"/>
    </row>
    <row r="542" spans="1:35" s="10" customFormat="1" x14ac:dyDescent="0.35">
      <c r="A542" s="12"/>
      <c r="B542" s="12"/>
      <c r="C542" s="12"/>
      <c r="D542" s="12"/>
      <c r="E542" s="12"/>
      <c r="I542" s="14"/>
      <c r="M542" s="12"/>
      <c r="T542" s="12"/>
      <c r="U542" s="12"/>
      <c r="V542" s="12"/>
      <c r="W542" s="12"/>
      <c r="X542" s="12"/>
      <c r="Y542" s="12"/>
      <c r="Z542" s="12"/>
      <c r="AA542" s="12"/>
      <c r="AB542" s="12"/>
      <c r="AC542" s="12"/>
      <c r="AD542" s="12"/>
      <c r="AE542" s="12"/>
      <c r="AF542" s="12"/>
      <c r="AG542" s="12"/>
      <c r="AH542" s="12"/>
      <c r="AI542" s="12"/>
    </row>
    <row r="543" spans="1:35" s="10" customFormat="1" x14ac:dyDescent="0.35">
      <c r="A543" s="12"/>
      <c r="B543" s="12"/>
      <c r="C543" s="12"/>
      <c r="D543" s="12"/>
      <c r="E543" s="12"/>
      <c r="I543" s="14"/>
      <c r="M543" s="12"/>
      <c r="T543" s="12"/>
      <c r="U543" s="12"/>
      <c r="V543" s="12"/>
      <c r="W543" s="12"/>
      <c r="X543" s="12"/>
      <c r="Y543" s="12"/>
      <c r="Z543" s="12"/>
      <c r="AA543" s="12"/>
      <c r="AB543" s="12"/>
      <c r="AC543" s="12"/>
      <c r="AD543" s="12"/>
      <c r="AE543" s="12"/>
      <c r="AF543" s="12"/>
      <c r="AG543" s="12"/>
      <c r="AH543" s="12"/>
      <c r="AI543" s="12"/>
    </row>
    <row r="544" spans="1:35" s="10" customFormat="1" x14ac:dyDescent="0.35">
      <c r="A544" s="12"/>
      <c r="B544" s="12"/>
      <c r="C544" s="12"/>
      <c r="D544" s="12"/>
      <c r="E544" s="12"/>
      <c r="I544" s="14"/>
      <c r="M544" s="12"/>
      <c r="T544" s="12"/>
      <c r="U544" s="12"/>
      <c r="V544" s="12"/>
      <c r="W544" s="12"/>
      <c r="X544" s="12"/>
      <c r="Y544" s="12"/>
      <c r="Z544" s="12"/>
      <c r="AA544" s="12"/>
      <c r="AB544" s="12"/>
      <c r="AC544" s="12"/>
      <c r="AD544" s="12"/>
      <c r="AE544" s="12"/>
      <c r="AF544" s="12"/>
      <c r="AG544" s="12"/>
      <c r="AH544" s="12"/>
      <c r="AI544" s="12"/>
    </row>
    <row r="545" spans="1:35" s="10" customFormat="1" x14ac:dyDescent="0.35">
      <c r="A545" s="12"/>
      <c r="B545" s="12"/>
      <c r="C545" s="12"/>
      <c r="D545" s="12"/>
      <c r="E545" s="12"/>
      <c r="I545" s="14"/>
      <c r="M545" s="12"/>
      <c r="T545" s="12"/>
      <c r="U545" s="12"/>
      <c r="V545" s="12"/>
      <c r="W545" s="12"/>
      <c r="X545" s="12"/>
      <c r="Y545" s="12"/>
      <c r="Z545" s="12"/>
      <c r="AA545" s="12"/>
      <c r="AB545" s="12"/>
      <c r="AC545" s="12"/>
      <c r="AD545" s="12"/>
      <c r="AE545" s="12"/>
      <c r="AF545" s="12"/>
      <c r="AG545" s="12"/>
      <c r="AH545" s="12"/>
      <c r="AI545" s="12"/>
    </row>
    <row r="546" spans="1:35" s="10" customFormat="1" x14ac:dyDescent="0.35">
      <c r="A546" s="12"/>
      <c r="B546" s="12"/>
      <c r="C546" s="12"/>
      <c r="D546" s="12"/>
      <c r="E546" s="12"/>
      <c r="I546" s="14"/>
      <c r="M546" s="12"/>
      <c r="T546" s="12"/>
      <c r="U546" s="12"/>
      <c r="V546" s="12"/>
      <c r="W546" s="12"/>
      <c r="X546" s="12"/>
      <c r="Y546" s="12"/>
      <c r="Z546" s="12"/>
      <c r="AA546" s="12"/>
      <c r="AB546" s="12"/>
      <c r="AC546" s="12"/>
      <c r="AD546" s="12"/>
      <c r="AE546" s="12"/>
      <c r="AF546" s="12"/>
      <c r="AG546" s="12"/>
      <c r="AH546" s="12"/>
      <c r="AI546" s="12"/>
    </row>
    <row r="547" spans="1:35" s="10" customFormat="1" x14ac:dyDescent="0.35">
      <c r="A547" s="12"/>
      <c r="B547" s="12"/>
      <c r="C547" s="12"/>
      <c r="D547" s="12"/>
      <c r="E547" s="12"/>
      <c r="I547" s="14"/>
      <c r="M547" s="12"/>
      <c r="T547" s="12"/>
      <c r="U547" s="12"/>
      <c r="V547" s="12"/>
      <c r="W547" s="12"/>
      <c r="X547" s="12"/>
      <c r="Y547" s="12"/>
      <c r="Z547" s="12"/>
      <c r="AA547" s="12"/>
      <c r="AB547" s="12"/>
      <c r="AC547" s="12"/>
      <c r="AD547" s="12"/>
      <c r="AE547" s="12"/>
      <c r="AF547" s="12"/>
      <c r="AG547" s="12"/>
      <c r="AH547" s="12"/>
      <c r="AI547" s="12"/>
    </row>
    <row r="548" spans="1:35" s="10" customFormat="1" x14ac:dyDescent="0.35">
      <c r="A548" s="12"/>
      <c r="B548" s="12"/>
      <c r="C548" s="12"/>
      <c r="D548" s="12"/>
      <c r="E548" s="12"/>
      <c r="I548" s="14"/>
      <c r="M548" s="12"/>
      <c r="T548" s="12"/>
      <c r="U548" s="12"/>
      <c r="V548" s="12"/>
      <c r="W548" s="12"/>
      <c r="X548" s="12"/>
      <c r="Y548" s="12"/>
      <c r="Z548" s="12"/>
      <c r="AA548" s="12"/>
      <c r="AB548" s="12"/>
      <c r="AC548" s="12"/>
      <c r="AD548" s="12"/>
      <c r="AE548" s="12"/>
      <c r="AF548" s="12"/>
      <c r="AG548" s="12"/>
      <c r="AH548" s="12"/>
      <c r="AI548" s="12"/>
    </row>
    <row r="549" spans="1:35" s="10" customFormat="1" x14ac:dyDescent="0.35">
      <c r="A549" s="12"/>
      <c r="B549" s="12"/>
      <c r="C549" s="12"/>
      <c r="D549" s="12"/>
      <c r="E549" s="12"/>
      <c r="I549" s="14"/>
      <c r="M549" s="12"/>
      <c r="T549" s="12"/>
      <c r="U549" s="12"/>
      <c r="V549" s="12"/>
      <c r="W549" s="12"/>
      <c r="X549" s="12"/>
      <c r="Y549" s="12"/>
      <c r="Z549" s="12"/>
      <c r="AA549" s="12"/>
      <c r="AB549" s="12"/>
      <c r="AC549" s="12"/>
      <c r="AD549" s="12"/>
      <c r="AE549" s="12"/>
      <c r="AF549" s="12"/>
      <c r="AG549" s="12"/>
      <c r="AH549" s="12"/>
      <c r="AI549" s="12"/>
    </row>
    <row r="550" spans="1:35" s="10" customFormat="1" x14ac:dyDescent="0.35">
      <c r="A550" s="12"/>
      <c r="B550" s="12"/>
      <c r="C550" s="12"/>
      <c r="D550" s="12"/>
      <c r="E550" s="12"/>
      <c r="I550" s="14"/>
      <c r="M550" s="12"/>
      <c r="T550" s="12"/>
      <c r="U550" s="12"/>
      <c r="V550" s="12"/>
      <c r="W550" s="12"/>
      <c r="X550" s="12"/>
      <c r="Y550" s="12"/>
      <c r="Z550" s="12"/>
      <c r="AA550" s="12"/>
      <c r="AB550" s="12"/>
      <c r="AC550" s="12"/>
      <c r="AD550" s="12"/>
      <c r="AE550" s="12"/>
      <c r="AF550" s="12"/>
      <c r="AG550" s="12"/>
      <c r="AH550" s="12"/>
      <c r="AI550" s="12"/>
    </row>
    <row r="551" spans="1:35" s="10" customFormat="1" x14ac:dyDescent="0.35">
      <c r="A551" s="12"/>
      <c r="B551" s="12"/>
      <c r="C551" s="12"/>
      <c r="D551" s="12"/>
      <c r="E551" s="12"/>
      <c r="I551" s="14"/>
      <c r="M551" s="12"/>
      <c r="T551" s="12"/>
      <c r="U551" s="12"/>
      <c r="V551" s="12"/>
      <c r="W551" s="12"/>
      <c r="X551" s="12"/>
      <c r="Y551" s="12"/>
      <c r="Z551" s="12"/>
      <c r="AA551" s="12"/>
      <c r="AB551" s="12"/>
      <c r="AC551" s="12"/>
      <c r="AD551" s="12"/>
      <c r="AE551" s="12"/>
      <c r="AF551" s="12"/>
      <c r="AG551" s="12"/>
      <c r="AH551" s="12"/>
      <c r="AI551" s="12"/>
    </row>
    <row r="552" spans="1:35" s="10" customFormat="1" x14ac:dyDescent="0.35">
      <c r="A552" s="12"/>
      <c r="B552" s="12"/>
      <c r="C552" s="12"/>
      <c r="D552" s="12"/>
      <c r="E552" s="12"/>
      <c r="I552" s="14"/>
      <c r="M552" s="12"/>
      <c r="T552" s="12"/>
      <c r="U552" s="12"/>
      <c r="V552" s="12"/>
      <c r="W552" s="12"/>
      <c r="X552" s="12"/>
      <c r="Y552" s="12"/>
      <c r="Z552" s="12"/>
      <c r="AA552" s="12"/>
      <c r="AB552" s="12"/>
      <c r="AC552" s="12"/>
      <c r="AD552" s="12"/>
      <c r="AE552" s="12"/>
      <c r="AF552" s="12"/>
      <c r="AG552" s="12"/>
      <c r="AH552" s="12"/>
      <c r="AI552" s="12"/>
    </row>
    <row r="553" spans="1:35" s="10" customFormat="1" x14ac:dyDescent="0.35">
      <c r="A553" s="12"/>
      <c r="B553" s="12"/>
      <c r="C553" s="12"/>
      <c r="D553" s="12"/>
      <c r="E553" s="12"/>
      <c r="I553" s="14"/>
      <c r="M553" s="12"/>
      <c r="T553" s="12"/>
      <c r="U553" s="12"/>
      <c r="V553" s="12"/>
      <c r="W553" s="12"/>
      <c r="X553" s="12"/>
      <c r="Y553" s="12"/>
      <c r="Z553" s="12"/>
      <c r="AA553" s="12"/>
      <c r="AB553" s="12"/>
      <c r="AC553" s="12"/>
      <c r="AD553" s="12"/>
      <c r="AE553" s="12"/>
      <c r="AF553" s="12"/>
      <c r="AG553" s="12"/>
      <c r="AH553" s="12"/>
      <c r="AI553" s="12"/>
    </row>
    <row r="554" spans="1:35" s="10" customFormat="1" x14ac:dyDescent="0.35">
      <c r="A554" s="12"/>
      <c r="B554" s="12"/>
      <c r="C554" s="12"/>
      <c r="D554" s="12"/>
      <c r="E554" s="12"/>
      <c r="I554" s="14"/>
      <c r="M554" s="12"/>
      <c r="T554" s="12"/>
      <c r="U554" s="12"/>
      <c r="V554" s="12"/>
      <c r="W554" s="12"/>
      <c r="X554" s="12"/>
      <c r="Y554" s="12"/>
      <c r="Z554" s="12"/>
      <c r="AA554" s="12"/>
      <c r="AB554" s="12"/>
      <c r="AC554" s="12"/>
      <c r="AD554" s="12"/>
      <c r="AE554" s="12"/>
      <c r="AF554" s="12"/>
      <c r="AG554" s="12"/>
      <c r="AH554" s="12"/>
      <c r="AI554" s="12"/>
    </row>
    <row r="555" spans="1:35" s="10" customFormat="1" x14ac:dyDescent="0.35">
      <c r="A555" s="12"/>
      <c r="B555" s="12"/>
      <c r="C555" s="12"/>
      <c r="D555" s="12"/>
      <c r="E555" s="12"/>
      <c r="I555" s="14"/>
      <c r="M555" s="12"/>
      <c r="T555" s="12"/>
      <c r="U555" s="12"/>
      <c r="V555" s="12"/>
      <c r="W555" s="12"/>
      <c r="X555" s="12"/>
      <c r="Y555" s="12"/>
      <c r="Z555" s="12"/>
      <c r="AA555" s="12"/>
      <c r="AB555" s="12"/>
      <c r="AC555" s="12"/>
      <c r="AD555" s="12"/>
      <c r="AE555" s="12"/>
      <c r="AF555" s="12"/>
      <c r="AG555" s="12"/>
      <c r="AH555" s="12"/>
      <c r="AI555" s="12"/>
    </row>
    <row r="556" spans="1:35" s="10" customFormat="1" x14ac:dyDescent="0.35">
      <c r="A556" s="12"/>
      <c r="B556" s="12"/>
      <c r="C556" s="12"/>
      <c r="D556" s="12"/>
      <c r="E556" s="12"/>
      <c r="I556" s="14"/>
      <c r="M556" s="12"/>
      <c r="T556" s="12"/>
      <c r="U556" s="12"/>
      <c r="V556" s="12"/>
      <c r="W556" s="12"/>
      <c r="X556" s="12"/>
      <c r="Y556" s="12"/>
      <c r="Z556" s="12"/>
      <c r="AA556" s="12"/>
      <c r="AB556" s="12"/>
      <c r="AC556" s="12"/>
      <c r="AD556" s="12"/>
      <c r="AE556" s="12"/>
      <c r="AF556" s="12"/>
      <c r="AG556" s="12"/>
      <c r="AH556" s="12"/>
      <c r="AI556" s="12"/>
    </row>
    <row r="557" spans="1:35" s="10" customFormat="1" x14ac:dyDescent="0.35">
      <c r="A557" s="12"/>
      <c r="B557" s="12"/>
      <c r="C557" s="12"/>
      <c r="D557" s="12"/>
      <c r="E557" s="12"/>
      <c r="I557" s="14"/>
      <c r="M557" s="12"/>
      <c r="T557" s="12"/>
      <c r="U557" s="12"/>
      <c r="V557" s="12"/>
      <c r="W557" s="12"/>
      <c r="X557" s="12"/>
      <c r="Y557" s="12"/>
      <c r="Z557" s="12"/>
      <c r="AA557" s="12"/>
      <c r="AB557" s="12"/>
      <c r="AC557" s="12"/>
      <c r="AD557" s="12"/>
      <c r="AE557" s="12"/>
      <c r="AF557" s="12"/>
      <c r="AG557" s="12"/>
      <c r="AH557" s="12"/>
      <c r="AI557" s="12"/>
    </row>
    <row r="558" spans="1:35" s="10" customFormat="1" x14ac:dyDescent="0.35">
      <c r="A558" s="12"/>
      <c r="B558" s="12"/>
      <c r="C558" s="12"/>
      <c r="D558" s="12"/>
      <c r="E558" s="12"/>
      <c r="I558" s="14"/>
      <c r="M558" s="12"/>
      <c r="T558" s="12"/>
      <c r="U558" s="12"/>
      <c r="V558" s="12"/>
      <c r="W558" s="12"/>
      <c r="X558" s="12"/>
      <c r="Y558" s="12"/>
      <c r="Z558" s="12"/>
      <c r="AA558" s="12"/>
      <c r="AB558" s="12"/>
      <c r="AC558" s="12"/>
      <c r="AD558" s="12"/>
      <c r="AE558" s="12"/>
      <c r="AF558" s="12"/>
      <c r="AG558" s="12"/>
      <c r="AH558" s="12"/>
      <c r="AI558" s="12"/>
    </row>
    <row r="559" spans="1:35" s="10" customFormat="1" x14ac:dyDescent="0.35">
      <c r="A559" s="12"/>
      <c r="B559" s="12"/>
      <c r="C559" s="12"/>
      <c r="D559" s="12"/>
      <c r="E559" s="12"/>
      <c r="I559" s="14"/>
      <c r="M559" s="12"/>
      <c r="T559" s="12"/>
      <c r="U559" s="12"/>
      <c r="V559" s="12"/>
      <c r="W559" s="12"/>
      <c r="X559" s="12"/>
      <c r="Y559" s="12"/>
      <c r="Z559" s="12"/>
      <c r="AA559" s="12"/>
      <c r="AB559" s="12"/>
      <c r="AC559" s="12"/>
      <c r="AD559" s="12"/>
      <c r="AE559" s="12"/>
      <c r="AF559" s="12"/>
      <c r="AG559" s="12"/>
      <c r="AH559" s="12"/>
      <c r="AI559" s="12"/>
    </row>
    <row r="560" spans="1:35" s="10" customFormat="1" x14ac:dyDescent="0.35">
      <c r="A560" s="12"/>
      <c r="B560" s="12"/>
      <c r="C560" s="12"/>
      <c r="D560" s="12"/>
      <c r="E560" s="12"/>
      <c r="I560" s="14"/>
      <c r="M560" s="12"/>
      <c r="T560" s="12"/>
      <c r="U560" s="12"/>
      <c r="V560" s="12"/>
      <c r="W560" s="12"/>
      <c r="X560" s="12"/>
      <c r="Y560" s="12"/>
      <c r="Z560" s="12"/>
      <c r="AA560" s="12"/>
      <c r="AB560" s="12"/>
      <c r="AC560" s="12"/>
      <c r="AD560" s="12"/>
      <c r="AE560" s="12"/>
      <c r="AF560" s="12"/>
      <c r="AG560" s="12"/>
      <c r="AH560" s="12"/>
      <c r="AI560" s="12"/>
    </row>
    <row r="561" spans="1:35" s="10" customFormat="1" x14ac:dyDescent="0.35">
      <c r="A561" s="12"/>
      <c r="B561" s="12"/>
      <c r="C561" s="12"/>
      <c r="D561" s="12"/>
      <c r="E561" s="12"/>
      <c r="I561" s="14"/>
      <c r="M561" s="12"/>
      <c r="T561" s="12"/>
      <c r="U561" s="12"/>
      <c r="V561" s="12"/>
      <c r="W561" s="12"/>
      <c r="X561" s="12"/>
      <c r="Y561" s="12"/>
      <c r="Z561" s="12"/>
      <c r="AA561" s="12"/>
      <c r="AB561" s="12"/>
      <c r="AC561" s="12"/>
      <c r="AD561" s="12"/>
      <c r="AE561" s="12"/>
      <c r="AF561" s="12"/>
      <c r="AG561" s="12"/>
      <c r="AH561" s="12"/>
      <c r="AI561" s="12"/>
    </row>
    <row r="562" spans="1:35" s="10" customFormat="1" x14ac:dyDescent="0.35">
      <c r="A562" s="12"/>
      <c r="B562" s="12"/>
      <c r="C562" s="12"/>
      <c r="D562" s="12"/>
      <c r="E562" s="12"/>
      <c r="I562" s="14"/>
      <c r="M562" s="12"/>
      <c r="T562" s="12"/>
      <c r="U562" s="12"/>
      <c r="V562" s="12"/>
      <c r="W562" s="12"/>
      <c r="X562" s="12"/>
      <c r="Y562" s="12"/>
      <c r="Z562" s="12"/>
      <c r="AA562" s="12"/>
      <c r="AB562" s="12"/>
      <c r="AC562" s="12"/>
      <c r="AD562" s="12"/>
      <c r="AE562" s="12"/>
      <c r="AF562" s="12"/>
      <c r="AG562" s="12"/>
      <c r="AH562" s="12"/>
      <c r="AI562" s="12"/>
    </row>
    <row r="563" spans="1:35" s="10" customFormat="1" x14ac:dyDescent="0.35">
      <c r="A563" s="12"/>
      <c r="B563" s="12"/>
      <c r="C563" s="12"/>
      <c r="D563" s="12"/>
      <c r="E563" s="12"/>
      <c r="I563" s="14"/>
      <c r="M563" s="12"/>
      <c r="T563" s="12"/>
      <c r="U563" s="12"/>
      <c r="V563" s="12"/>
      <c r="W563" s="12"/>
      <c r="X563" s="12"/>
      <c r="Y563" s="12"/>
      <c r="Z563" s="12"/>
      <c r="AA563" s="12"/>
      <c r="AB563" s="12"/>
      <c r="AC563" s="12"/>
      <c r="AD563" s="12"/>
      <c r="AE563" s="12"/>
      <c r="AF563" s="12"/>
      <c r="AG563" s="12"/>
      <c r="AH563" s="12"/>
      <c r="AI563" s="12"/>
    </row>
    <row r="564" spans="1:35" s="10" customFormat="1" x14ac:dyDescent="0.35">
      <c r="A564" s="12"/>
      <c r="B564" s="12"/>
      <c r="C564" s="12"/>
      <c r="D564" s="12"/>
      <c r="E564" s="12"/>
      <c r="I564" s="14"/>
      <c r="M564" s="12"/>
      <c r="T564" s="12"/>
      <c r="U564" s="12"/>
      <c r="V564" s="12"/>
      <c r="W564" s="12"/>
      <c r="X564" s="12"/>
      <c r="Y564" s="12"/>
      <c r="Z564" s="12"/>
      <c r="AA564" s="12"/>
      <c r="AB564" s="12"/>
      <c r="AC564" s="12"/>
      <c r="AD564" s="12"/>
      <c r="AE564" s="12"/>
      <c r="AF564" s="12"/>
      <c r="AG564" s="12"/>
      <c r="AH564" s="12"/>
      <c r="AI564" s="12"/>
    </row>
    <row r="565" spans="1:35" s="10" customFormat="1" x14ac:dyDescent="0.35">
      <c r="A565" s="12"/>
      <c r="B565" s="12"/>
      <c r="C565" s="12"/>
      <c r="D565" s="12"/>
      <c r="E565" s="12"/>
      <c r="I565" s="14"/>
      <c r="M565" s="12"/>
      <c r="T565" s="12"/>
      <c r="U565" s="12"/>
      <c r="V565" s="12"/>
      <c r="W565" s="12"/>
      <c r="X565" s="12"/>
      <c r="Y565" s="12"/>
      <c r="Z565" s="12"/>
      <c r="AA565" s="12"/>
      <c r="AB565" s="12"/>
      <c r="AC565" s="12"/>
      <c r="AD565" s="12"/>
      <c r="AE565" s="12"/>
      <c r="AF565" s="12"/>
      <c r="AG565" s="12"/>
      <c r="AH565" s="12"/>
      <c r="AI565" s="12"/>
    </row>
    <row r="566" spans="1:35" s="10" customFormat="1" x14ac:dyDescent="0.35">
      <c r="A566" s="12"/>
      <c r="B566" s="12"/>
      <c r="C566" s="12"/>
      <c r="D566" s="12"/>
      <c r="E566" s="12"/>
      <c r="I566" s="14"/>
      <c r="M566" s="12"/>
      <c r="T566" s="12"/>
      <c r="U566" s="12"/>
      <c r="V566" s="12"/>
      <c r="W566" s="12"/>
      <c r="X566" s="12"/>
      <c r="Y566" s="12"/>
      <c r="Z566" s="12"/>
      <c r="AA566" s="12"/>
      <c r="AB566" s="12"/>
      <c r="AC566" s="12"/>
      <c r="AD566" s="12"/>
      <c r="AE566" s="12"/>
      <c r="AF566" s="12"/>
      <c r="AG566" s="12"/>
      <c r="AH566" s="12"/>
      <c r="AI566" s="12"/>
    </row>
    <row r="567" spans="1:35" s="10" customFormat="1" x14ac:dyDescent="0.35">
      <c r="A567" s="12"/>
      <c r="B567" s="12"/>
      <c r="C567" s="12"/>
      <c r="D567" s="12"/>
      <c r="E567" s="12"/>
      <c r="I567" s="14"/>
      <c r="M567" s="12"/>
      <c r="T567" s="12"/>
      <c r="U567" s="12"/>
      <c r="V567" s="12"/>
      <c r="W567" s="12"/>
      <c r="X567" s="12"/>
      <c r="Y567" s="12"/>
      <c r="Z567" s="12"/>
      <c r="AA567" s="12"/>
      <c r="AB567" s="12"/>
      <c r="AC567" s="12"/>
      <c r="AD567" s="12"/>
      <c r="AE567" s="12"/>
      <c r="AF567" s="12"/>
      <c r="AG567" s="12"/>
      <c r="AH567" s="12"/>
      <c r="AI567" s="12"/>
    </row>
    <row r="568" spans="1:35" s="10" customFormat="1" x14ac:dyDescent="0.35">
      <c r="A568" s="12"/>
      <c r="B568" s="12"/>
      <c r="C568" s="12"/>
      <c r="D568" s="12"/>
      <c r="E568" s="12"/>
      <c r="I568" s="14"/>
      <c r="M568" s="12"/>
      <c r="T568" s="12"/>
      <c r="U568" s="12"/>
      <c r="V568" s="12"/>
      <c r="W568" s="12"/>
      <c r="X568" s="12"/>
      <c r="Y568" s="12"/>
      <c r="Z568" s="12"/>
      <c r="AA568" s="12"/>
      <c r="AB568" s="12"/>
      <c r="AC568" s="12"/>
      <c r="AD568" s="12"/>
      <c r="AE568" s="12"/>
      <c r="AF568" s="12"/>
      <c r="AG568" s="12"/>
      <c r="AH568" s="12"/>
      <c r="AI568" s="12"/>
    </row>
    <row r="569" spans="1:35" s="10" customFormat="1" x14ac:dyDescent="0.35">
      <c r="A569" s="12"/>
      <c r="B569" s="12"/>
      <c r="C569" s="12"/>
      <c r="D569" s="12"/>
      <c r="E569" s="12"/>
      <c r="I569" s="14"/>
      <c r="M569" s="12"/>
      <c r="T569" s="12"/>
      <c r="U569" s="12"/>
      <c r="V569" s="12"/>
      <c r="W569" s="12"/>
      <c r="X569" s="12"/>
      <c r="Y569" s="12"/>
      <c r="Z569" s="12"/>
      <c r="AA569" s="12"/>
      <c r="AB569" s="12"/>
      <c r="AC569" s="12"/>
      <c r="AD569" s="12"/>
      <c r="AE569" s="12"/>
      <c r="AF569" s="12"/>
      <c r="AG569" s="12"/>
      <c r="AH569" s="12"/>
      <c r="AI569" s="12"/>
    </row>
    <row r="570" spans="1:35" s="10" customFormat="1" x14ac:dyDescent="0.35">
      <c r="A570" s="12"/>
      <c r="B570" s="12"/>
      <c r="C570" s="12"/>
      <c r="D570" s="12"/>
      <c r="E570" s="12"/>
      <c r="I570" s="14"/>
      <c r="M570" s="12"/>
      <c r="T570" s="12"/>
      <c r="U570" s="12"/>
      <c r="V570" s="12"/>
      <c r="W570" s="12"/>
      <c r="X570" s="12"/>
      <c r="Y570" s="12"/>
      <c r="Z570" s="12"/>
      <c r="AA570" s="12"/>
      <c r="AB570" s="12"/>
      <c r="AC570" s="12"/>
      <c r="AD570" s="12"/>
      <c r="AE570" s="12"/>
      <c r="AF570" s="12"/>
      <c r="AG570" s="12"/>
      <c r="AH570" s="12"/>
      <c r="AI570" s="12"/>
    </row>
    <row r="571" spans="1:35" s="10" customFormat="1" x14ac:dyDescent="0.35">
      <c r="A571" s="12"/>
      <c r="B571" s="12"/>
      <c r="C571" s="12"/>
      <c r="D571" s="12"/>
      <c r="E571" s="12"/>
      <c r="I571" s="14"/>
      <c r="M571" s="12"/>
      <c r="T571" s="12"/>
      <c r="U571" s="12"/>
      <c r="V571" s="12"/>
      <c r="W571" s="12"/>
      <c r="X571" s="12"/>
      <c r="Y571" s="12"/>
      <c r="Z571" s="12"/>
      <c r="AA571" s="12"/>
      <c r="AB571" s="12"/>
      <c r="AC571" s="12"/>
      <c r="AD571" s="12"/>
      <c r="AE571" s="12"/>
      <c r="AF571" s="12"/>
      <c r="AG571" s="12"/>
      <c r="AH571" s="12"/>
      <c r="AI571" s="12"/>
    </row>
    <row r="572" spans="1:35" s="10" customFormat="1" x14ac:dyDescent="0.35">
      <c r="A572" s="12"/>
      <c r="B572" s="12"/>
      <c r="C572" s="12"/>
      <c r="D572" s="12"/>
      <c r="E572" s="12"/>
      <c r="I572" s="14"/>
      <c r="M572" s="12"/>
      <c r="T572" s="12"/>
      <c r="U572" s="12"/>
      <c r="V572" s="12"/>
      <c r="W572" s="12"/>
      <c r="X572" s="12"/>
      <c r="Y572" s="12"/>
      <c r="Z572" s="12"/>
      <c r="AA572" s="12"/>
      <c r="AB572" s="12"/>
      <c r="AC572" s="12"/>
      <c r="AD572" s="12"/>
      <c r="AE572" s="12"/>
      <c r="AF572" s="12"/>
      <c r="AG572" s="12"/>
      <c r="AH572" s="12"/>
      <c r="AI572" s="12"/>
    </row>
    <row r="573" spans="1:35" s="10" customFormat="1" x14ac:dyDescent="0.35">
      <c r="A573" s="12"/>
      <c r="B573" s="12"/>
      <c r="C573" s="12"/>
      <c r="D573" s="12"/>
      <c r="E573" s="12"/>
      <c r="I573" s="14"/>
      <c r="M573" s="12"/>
      <c r="T573" s="12"/>
      <c r="U573" s="12"/>
      <c r="V573" s="12"/>
      <c r="W573" s="12"/>
      <c r="X573" s="12"/>
      <c r="Y573" s="12"/>
      <c r="Z573" s="12"/>
      <c r="AA573" s="12"/>
      <c r="AB573" s="12"/>
      <c r="AC573" s="12"/>
      <c r="AD573" s="12"/>
      <c r="AE573" s="12"/>
      <c r="AF573" s="12"/>
      <c r="AG573" s="12"/>
      <c r="AH573" s="12"/>
      <c r="AI573" s="12"/>
    </row>
    <row r="574" spans="1:35" s="10" customFormat="1" x14ac:dyDescent="0.35">
      <c r="A574" s="12"/>
      <c r="B574" s="12"/>
      <c r="C574" s="12"/>
      <c r="D574" s="12"/>
      <c r="E574" s="12"/>
      <c r="I574" s="14"/>
      <c r="M574" s="12"/>
      <c r="T574" s="12"/>
      <c r="U574" s="12"/>
      <c r="V574" s="12"/>
      <c r="W574" s="12"/>
      <c r="X574" s="12"/>
      <c r="Y574" s="12"/>
      <c r="Z574" s="12"/>
      <c r="AA574" s="12"/>
      <c r="AB574" s="12"/>
      <c r="AC574" s="12"/>
      <c r="AD574" s="12"/>
      <c r="AE574" s="12"/>
      <c r="AF574" s="12"/>
      <c r="AG574" s="12"/>
      <c r="AH574" s="12"/>
      <c r="AI574" s="12"/>
    </row>
    <row r="575" spans="1:35" s="10" customFormat="1" x14ac:dyDescent="0.35">
      <c r="A575" s="12"/>
      <c r="B575" s="12"/>
      <c r="C575" s="12"/>
      <c r="D575" s="12"/>
      <c r="E575" s="12"/>
      <c r="I575" s="14"/>
      <c r="M575" s="12"/>
      <c r="T575" s="12"/>
      <c r="U575" s="12"/>
      <c r="V575" s="12"/>
      <c r="W575" s="12"/>
      <c r="X575" s="12"/>
      <c r="Y575" s="12"/>
      <c r="Z575" s="12"/>
      <c r="AA575" s="12"/>
      <c r="AB575" s="12"/>
      <c r="AC575" s="12"/>
      <c r="AD575" s="12"/>
      <c r="AE575" s="12"/>
      <c r="AF575" s="12"/>
      <c r="AG575" s="12"/>
      <c r="AH575" s="12"/>
      <c r="AI575" s="12"/>
    </row>
    <row r="576" spans="1:35" s="10" customFormat="1" x14ac:dyDescent="0.35">
      <c r="A576" s="12"/>
      <c r="B576" s="12"/>
      <c r="C576" s="12"/>
      <c r="D576" s="12"/>
      <c r="E576" s="12"/>
      <c r="I576" s="14"/>
      <c r="M576" s="12"/>
      <c r="T576" s="12"/>
      <c r="U576" s="12"/>
      <c r="V576" s="12"/>
      <c r="W576" s="12"/>
      <c r="X576" s="12"/>
      <c r="Y576" s="12"/>
      <c r="Z576" s="12"/>
      <c r="AA576" s="12"/>
      <c r="AB576" s="12"/>
      <c r="AC576" s="12"/>
      <c r="AD576" s="12"/>
      <c r="AE576" s="12"/>
      <c r="AF576" s="12"/>
      <c r="AG576" s="12"/>
      <c r="AH576" s="12"/>
      <c r="AI576" s="12"/>
    </row>
    <row r="577" spans="1:35" s="10" customFormat="1" x14ac:dyDescent="0.35">
      <c r="A577" s="12"/>
      <c r="B577" s="12"/>
      <c r="C577" s="12"/>
      <c r="D577" s="12"/>
      <c r="E577" s="12"/>
      <c r="I577" s="14"/>
      <c r="M577" s="12"/>
      <c r="T577" s="12"/>
      <c r="U577" s="12"/>
      <c r="V577" s="12"/>
      <c r="W577" s="12"/>
      <c r="X577" s="12"/>
      <c r="Y577" s="12"/>
      <c r="Z577" s="12"/>
      <c r="AA577" s="12"/>
      <c r="AB577" s="12"/>
      <c r="AC577" s="12"/>
      <c r="AD577" s="12"/>
      <c r="AE577" s="12"/>
      <c r="AF577" s="12"/>
      <c r="AG577" s="12"/>
      <c r="AH577" s="12"/>
      <c r="AI577" s="12"/>
    </row>
    <row r="578" spans="1:35" s="10" customFormat="1" x14ac:dyDescent="0.35">
      <c r="A578" s="12"/>
      <c r="B578" s="12"/>
      <c r="C578" s="12"/>
      <c r="D578" s="12"/>
      <c r="E578" s="12"/>
      <c r="I578" s="14"/>
      <c r="M578" s="12"/>
      <c r="T578" s="12"/>
      <c r="U578" s="12"/>
      <c r="V578" s="12"/>
      <c r="W578" s="12"/>
      <c r="X578" s="12"/>
      <c r="Y578" s="12"/>
      <c r="Z578" s="12"/>
      <c r="AA578" s="12"/>
      <c r="AB578" s="12"/>
      <c r="AC578" s="12"/>
      <c r="AD578" s="12"/>
      <c r="AE578" s="12"/>
      <c r="AF578" s="12"/>
      <c r="AG578" s="12"/>
      <c r="AH578" s="12"/>
      <c r="AI578" s="12"/>
    </row>
    <row r="579" spans="1:35" s="10" customFormat="1" x14ac:dyDescent="0.35">
      <c r="A579" s="12"/>
      <c r="B579" s="12"/>
      <c r="C579" s="12"/>
      <c r="D579" s="12"/>
      <c r="E579" s="12"/>
      <c r="I579" s="14"/>
      <c r="M579" s="12"/>
      <c r="T579" s="12"/>
      <c r="U579" s="12"/>
      <c r="V579" s="12"/>
      <c r="W579" s="12"/>
      <c r="X579" s="12"/>
      <c r="Y579" s="12"/>
      <c r="Z579" s="12"/>
      <c r="AA579" s="12"/>
      <c r="AB579" s="12"/>
      <c r="AC579" s="12"/>
      <c r="AD579" s="12"/>
      <c r="AE579" s="12"/>
      <c r="AF579" s="12"/>
      <c r="AG579" s="12"/>
      <c r="AH579" s="12"/>
      <c r="AI579" s="12"/>
    </row>
    <row r="580" spans="1:35" s="10" customFormat="1" x14ac:dyDescent="0.35">
      <c r="A580" s="12"/>
      <c r="B580" s="12"/>
      <c r="C580" s="12"/>
      <c r="D580" s="12"/>
      <c r="E580" s="12"/>
      <c r="I580" s="14"/>
      <c r="M580" s="12"/>
      <c r="T580" s="12"/>
      <c r="U580" s="12"/>
      <c r="V580" s="12"/>
      <c r="W580" s="12"/>
      <c r="X580" s="12"/>
      <c r="Y580" s="12"/>
      <c r="Z580" s="12"/>
      <c r="AA580" s="12"/>
      <c r="AB580" s="12"/>
      <c r="AC580" s="12"/>
      <c r="AD580" s="12"/>
      <c r="AE580" s="12"/>
      <c r="AF580" s="12"/>
      <c r="AG580" s="12"/>
      <c r="AH580" s="12"/>
      <c r="AI580" s="12"/>
    </row>
    <row r="581" spans="1:35" s="10" customFormat="1" x14ac:dyDescent="0.35">
      <c r="A581" s="12"/>
      <c r="B581" s="12"/>
      <c r="C581" s="12"/>
      <c r="D581" s="12"/>
      <c r="E581" s="12"/>
      <c r="I581" s="14"/>
      <c r="M581" s="12"/>
      <c r="T581" s="12"/>
      <c r="U581" s="12"/>
      <c r="V581" s="12"/>
      <c r="W581" s="12"/>
      <c r="X581" s="12"/>
      <c r="Y581" s="12"/>
      <c r="Z581" s="12"/>
      <c r="AA581" s="12"/>
      <c r="AB581" s="12"/>
      <c r="AC581" s="12"/>
      <c r="AD581" s="12"/>
      <c r="AE581" s="12"/>
      <c r="AF581" s="12"/>
      <c r="AG581" s="12"/>
      <c r="AH581" s="12"/>
      <c r="AI581" s="12"/>
    </row>
    <row r="582" spans="1:35" s="10" customFormat="1" x14ac:dyDescent="0.35">
      <c r="A582" s="12"/>
      <c r="B582" s="12"/>
      <c r="C582" s="12"/>
      <c r="D582" s="12"/>
      <c r="E582" s="12"/>
      <c r="I582" s="14"/>
      <c r="M582" s="12"/>
      <c r="T582" s="12"/>
      <c r="U582" s="12"/>
      <c r="V582" s="12"/>
      <c r="W582" s="12"/>
      <c r="X582" s="12"/>
      <c r="Y582" s="12"/>
      <c r="Z582" s="12"/>
      <c r="AA582" s="12"/>
      <c r="AB582" s="12"/>
      <c r="AC582" s="12"/>
      <c r="AD582" s="12"/>
      <c r="AE582" s="12"/>
      <c r="AF582" s="12"/>
      <c r="AG582" s="12"/>
      <c r="AH582" s="12"/>
      <c r="AI582" s="12"/>
    </row>
    <row r="583" spans="1:35" s="10" customFormat="1" x14ac:dyDescent="0.35">
      <c r="A583" s="12"/>
      <c r="B583" s="12"/>
      <c r="C583" s="12"/>
      <c r="D583" s="12"/>
      <c r="E583" s="12"/>
      <c r="I583" s="14"/>
      <c r="M583" s="12"/>
      <c r="T583" s="12"/>
      <c r="U583" s="12"/>
      <c r="V583" s="12"/>
      <c r="W583" s="12"/>
      <c r="X583" s="12"/>
      <c r="Y583" s="12"/>
      <c r="Z583" s="12"/>
      <c r="AA583" s="12"/>
      <c r="AB583" s="12"/>
      <c r="AC583" s="12"/>
      <c r="AD583" s="12"/>
      <c r="AE583" s="12"/>
      <c r="AF583" s="12"/>
      <c r="AG583" s="12"/>
      <c r="AH583" s="12"/>
      <c r="AI583" s="12"/>
    </row>
    <row r="584" spans="1:35" s="10" customFormat="1" x14ac:dyDescent="0.35">
      <c r="A584" s="12"/>
      <c r="B584" s="12"/>
      <c r="C584" s="12"/>
      <c r="D584" s="12"/>
      <c r="E584" s="12"/>
      <c r="I584" s="14"/>
      <c r="M584" s="12"/>
      <c r="T584" s="12"/>
      <c r="U584" s="12"/>
      <c r="V584" s="12"/>
      <c r="W584" s="12"/>
      <c r="X584" s="12"/>
      <c r="Y584" s="12"/>
      <c r="Z584" s="12"/>
      <c r="AA584" s="12"/>
      <c r="AB584" s="12"/>
      <c r="AC584" s="12"/>
      <c r="AD584" s="12"/>
      <c r="AE584" s="12"/>
      <c r="AF584" s="12"/>
      <c r="AG584" s="12"/>
      <c r="AH584" s="12"/>
      <c r="AI584" s="12"/>
    </row>
    <row r="585" spans="1:35" s="10" customFormat="1" x14ac:dyDescent="0.35">
      <c r="A585" s="12"/>
      <c r="B585" s="12"/>
      <c r="C585" s="12"/>
      <c r="D585" s="12"/>
      <c r="E585" s="12"/>
      <c r="I585" s="14"/>
      <c r="M585" s="12"/>
      <c r="T585" s="12"/>
      <c r="U585" s="12"/>
      <c r="V585" s="12"/>
      <c r="W585" s="12"/>
      <c r="X585" s="12"/>
      <c r="Y585" s="12"/>
      <c r="Z585" s="12"/>
      <c r="AA585" s="12"/>
      <c r="AB585" s="12"/>
      <c r="AC585" s="12"/>
      <c r="AD585" s="12"/>
      <c r="AE585" s="12"/>
      <c r="AF585" s="12"/>
      <c r="AG585" s="12"/>
      <c r="AH585" s="12"/>
      <c r="AI585" s="12"/>
    </row>
    <row r="586" spans="1:35" s="10" customFormat="1" x14ac:dyDescent="0.35">
      <c r="A586" s="12"/>
      <c r="B586" s="12"/>
      <c r="C586" s="12"/>
      <c r="D586" s="12"/>
      <c r="E586" s="12"/>
      <c r="I586" s="14"/>
      <c r="M586" s="12"/>
      <c r="T586" s="12"/>
      <c r="U586" s="12"/>
      <c r="V586" s="12"/>
      <c r="W586" s="12"/>
      <c r="X586" s="12"/>
      <c r="Y586" s="12"/>
      <c r="Z586" s="12"/>
      <c r="AA586" s="12"/>
      <c r="AB586" s="12"/>
      <c r="AC586" s="12"/>
      <c r="AD586" s="12"/>
      <c r="AE586" s="12"/>
      <c r="AF586" s="12"/>
      <c r="AG586" s="12"/>
      <c r="AH586" s="12"/>
      <c r="AI586" s="12"/>
    </row>
    <row r="587" spans="1:35" s="10" customFormat="1" x14ac:dyDescent="0.35">
      <c r="A587" s="12"/>
      <c r="B587" s="12"/>
      <c r="C587" s="12"/>
      <c r="D587" s="12"/>
      <c r="E587" s="12"/>
      <c r="I587" s="14"/>
      <c r="M587" s="12"/>
      <c r="T587" s="12"/>
      <c r="U587" s="12"/>
      <c r="V587" s="12"/>
      <c r="W587" s="12"/>
      <c r="X587" s="12"/>
      <c r="Y587" s="12"/>
      <c r="Z587" s="12"/>
      <c r="AA587" s="12"/>
      <c r="AB587" s="12"/>
      <c r="AC587" s="12"/>
      <c r="AD587" s="12"/>
      <c r="AE587" s="12"/>
      <c r="AF587" s="12"/>
      <c r="AG587" s="12"/>
      <c r="AH587" s="12"/>
      <c r="AI587" s="12"/>
    </row>
    <row r="588" spans="1:35" s="10" customFormat="1" x14ac:dyDescent="0.35">
      <c r="A588" s="12"/>
      <c r="B588" s="12"/>
      <c r="C588" s="12"/>
      <c r="D588" s="12"/>
      <c r="E588" s="12"/>
      <c r="I588" s="14"/>
      <c r="M588" s="12"/>
      <c r="T588" s="12"/>
      <c r="U588" s="12"/>
      <c r="V588" s="12"/>
      <c r="W588" s="12"/>
      <c r="X588" s="12"/>
      <c r="Y588" s="12"/>
      <c r="Z588" s="12"/>
      <c r="AA588" s="12"/>
      <c r="AB588" s="12"/>
      <c r="AC588" s="12"/>
      <c r="AD588" s="12"/>
      <c r="AE588" s="12"/>
      <c r="AF588" s="12"/>
      <c r="AG588" s="12"/>
      <c r="AH588" s="12"/>
      <c r="AI588" s="12"/>
    </row>
    <row r="589" spans="1:35" s="10" customFormat="1" x14ac:dyDescent="0.35">
      <c r="A589" s="12"/>
      <c r="B589" s="12"/>
      <c r="C589" s="12"/>
      <c r="D589" s="12"/>
      <c r="E589" s="12"/>
      <c r="I589" s="14"/>
      <c r="M589" s="12"/>
      <c r="T589" s="12"/>
      <c r="U589" s="12"/>
      <c r="V589" s="12"/>
      <c r="W589" s="12"/>
      <c r="X589" s="12"/>
      <c r="Y589" s="12"/>
      <c r="Z589" s="12"/>
      <c r="AA589" s="12"/>
      <c r="AB589" s="12"/>
      <c r="AC589" s="12"/>
      <c r="AD589" s="12"/>
      <c r="AE589" s="12"/>
      <c r="AF589" s="12"/>
      <c r="AG589" s="12"/>
      <c r="AH589" s="12"/>
      <c r="AI589" s="12"/>
    </row>
    <row r="590" spans="1:35" s="10" customFormat="1" x14ac:dyDescent="0.35">
      <c r="A590" s="12"/>
      <c r="B590" s="12"/>
      <c r="C590" s="12"/>
      <c r="D590" s="12"/>
      <c r="E590" s="12"/>
      <c r="I590" s="14"/>
      <c r="M590" s="12"/>
      <c r="T590" s="12"/>
      <c r="U590" s="12"/>
      <c r="V590" s="12"/>
      <c r="W590" s="12"/>
      <c r="X590" s="12"/>
      <c r="Y590" s="12"/>
      <c r="Z590" s="12"/>
      <c r="AA590" s="12"/>
      <c r="AB590" s="12"/>
      <c r="AC590" s="12"/>
      <c r="AD590" s="12"/>
      <c r="AE590" s="12"/>
      <c r="AF590" s="12"/>
      <c r="AG590" s="12"/>
      <c r="AH590" s="12"/>
      <c r="AI590" s="12"/>
    </row>
    <row r="591" spans="1:35" s="10" customFormat="1" x14ac:dyDescent="0.35">
      <c r="A591" s="12"/>
      <c r="B591" s="12"/>
      <c r="C591" s="12"/>
      <c r="D591" s="12"/>
      <c r="E591" s="12"/>
      <c r="I591" s="14"/>
      <c r="M591" s="12"/>
      <c r="T591" s="12"/>
      <c r="U591" s="12"/>
      <c r="V591" s="12"/>
      <c r="W591" s="12"/>
      <c r="X591" s="12"/>
      <c r="Y591" s="12"/>
      <c r="Z591" s="12"/>
      <c r="AA591" s="12"/>
      <c r="AB591" s="12"/>
      <c r="AC591" s="12"/>
      <c r="AD591" s="12"/>
      <c r="AE591" s="12"/>
      <c r="AF591" s="12"/>
      <c r="AG591" s="12"/>
      <c r="AH591" s="12"/>
      <c r="AI591" s="12"/>
    </row>
    <row r="592" spans="1:35" s="10" customFormat="1" x14ac:dyDescent="0.35">
      <c r="A592" s="12"/>
      <c r="B592" s="12"/>
      <c r="C592" s="12"/>
      <c r="D592" s="12"/>
      <c r="E592" s="12"/>
      <c r="I592" s="14"/>
      <c r="M592" s="12"/>
      <c r="T592" s="12"/>
      <c r="U592" s="12"/>
      <c r="V592" s="12"/>
      <c r="W592" s="12"/>
      <c r="X592" s="12"/>
      <c r="Y592" s="12"/>
      <c r="Z592" s="12"/>
      <c r="AA592" s="12"/>
      <c r="AB592" s="12"/>
      <c r="AC592" s="12"/>
      <c r="AD592" s="12"/>
      <c r="AE592" s="12"/>
      <c r="AF592" s="12"/>
      <c r="AG592" s="12"/>
      <c r="AH592" s="12"/>
      <c r="AI592" s="12"/>
    </row>
    <row r="593" spans="1:35" s="10" customFormat="1" x14ac:dyDescent="0.35">
      <c r="A593" s="12"/>
      <c r="B593" s="12"/>
      <c r="C593" s="12"/>
      <c r="D593" s="12"/>
      <c r="E593" s="12"/>
      <c r="I593" s="14"/>
      <c r="M593" s="12"/>
      <c r="T593" s="12"/>
      <c r="U593" s="12"/>
      <c r="V593" s="12"/>
      <c r="W593" s="12"/>
      <c r="X593" s="12"/>
      <c r="Y593" s="12"/>
      <c r="Z593" s="12"/>
      <c r="AA593" s="12"/>
      <c r="AB593" s="12"/>
      <c r="AC593" s="12"/>
      <c r="AD593" s="12"/>
      <c r="AE593" s="12"/>
      <c r="AF593" s="12"/>
      <c r="AG593" s="12"/>
      <c r="AH593" s="12"/>
      <c r="AI593" s="12"/>
    </row>
    <row r="594" spans="1:35" s="10" customFormat="1" x14ac:dyDescent="0.35">
      <c r="A594" s="12"/>
      <c r="B594" s="12"/>
      <c r="C594" s="12"/>
      <c r="D594" s="12"/>
      <c r="E594" s="12"/>
      <c r="I594" s="14"/>
      <c r="M594" s="12"/>
      <c r="T594" s="12"/>
      <c r="U594" s="12"/>
      <c r="V594" s="12"/>
      <c r="W594" s="12"/>
      <c r="X594" s="12"/>
      <c r="Y594" s="12"/>
      <c r="Z594" s="12"/>
      <c r="AA594" s="12"/>
      <c r="AB594" s="12"/>
      <c r="AC594" s="12"/>
      <c r="AD594" s="12"/>
      <c r="AE594" s="12"/>
      <c r="AF594" s="12"/>
      <c r="AG594" s="12"/>
      <c r="AH594" s="12"/>
      <c r="AI594" s="12"/>
    </row>
    <row r="595" spans="1:35" s="10" customFormat="1" x14ac:dyDescent="0.35">
      <c r="A595" s="12"/>
      <c r="B595" s="12"/>
      <c r="C595" s="12"/>
      <c r="D595" s="12"/>
      <c r="E595" s="12"/>
      <c r="I595" s="14"/>
      <c r="M595" s="12"/>
      <c r="T595" s="12"/>
      <c r="U595" s="12"/>
      <c r="V595" s="12"/>
      <c r="W595" s="12"/>
      <c r="X595" s="12"/>
      <c r="Y595" s="12"/>
      <c r="Z595" s="12"/>
      <c r="AA595" s="12"/>
      <c r="AB595" s="12"/>
      <c r="AC595" s="12"/>
      <c r="AD595" s="12"/>
      <c r="AE595" s="12"/>
      <c r="AF595" s="12"/>
      <c r="AG595" s="12"/>
      <c r="AH595" s="12"/>
      <c r="AI595" s="12"/>
    </row>
    <row r="596" spans="1:35" s="10" customFormat="1" x14ac:dyDescent="0.35">
      <c r="A596" s="12"/>
      <c r="B596" s="12"/>
      <c r="C596" s="12"/>
      <c r="D596" s="12"/>
      <c r="E596" s="12"/>
      <c r="I596" s="14"/>
      <c r="M596" s="12"/>
      <c r="T596" s="12"/>
      <c r="U596" s="12"/>
      <c r="V596" s="12"/>
      <c r="W596" s="12"/>
      <c r="X596" s="12"/>
      <c r="Y596" s="12"/>
      <c r="Z596" s="12"/>
      <c r="AA596" s="12"/>
      <c r="AB596" s="12"/>
      <c r="AC596" s="12"/>
      <c r="AD596" s="12"/>
      <c r="AE596" s="12"/>
      <c r="AF596" s="12"/>
      <c r="AG596" s="12"/>
      <c r="AH596" s="12"/>
      <c r="AI596" s="12"/>
    </row>
    <row r="597" spans="1:35" s="10" customFormat="1" x14ac:dyDescent="0.35">
      <c r="A597" s="12"/>
      <c r="B597" s="12"/>
      <c r="C597" s="12"/>
      <c r="D597" s="12"/>
      <c r="E597" s="12"/>
      <c r="I597" s="14"/>
      <c r="M597" s="12"/>
      <c r="T597" s="12"/>
      <c r="U597" s="12"/>
      <c r="V597" s="12"/>
      <c r="W597" s="12"/>
      <c r="X597" s="12"/>
      <c r="Y597" s="12"/>
      <c r="Z597" s="12"/>
      <c r="AA597" s="12"/>
      <c r="AB597" s="12"/>
      <c r="AC597" s="12"/>
      <c r="AD597" s="12"/>
      <c r="AE597" s="12"/>
      <c r="AF597" s="12"/>
      <c r="AG597" s="12"/>
      <c r="AH597" s="12"/>
      <c r="AI597" s="12"/>
    </row>
    <row r="598" spans="1:35" s="10" customFormat="1" x14ac:dyDescent="0.35">
      <c r="A598" s="12"/>
      <c r="B598" s="12"/>
      <c r="C598" s="12"/>
      <c r="D598" s="12"/>
      <c r="E598" s="12"/>
      <c r="I598" s="14"/>
      <c r="M598" s="12"/>
      <c r="T598" s="12"/>
      <c r="U598" s="12"/>
      <c r="V598" s="12"/>
      <c r="W598" s="12"/>
      <c r="X598" s="12"/>
      <c r="Y598" s="12"/>
      <c r="Z598" s="12"/>
      <c r="AA598" s="12"/>
      <c r="AB598" s="12"/>
      <c r="AC598" s="12"/>
      <c r="AD598" s="12"/>
      <c r="AE598" s="12"/>
      <c r="AF598" s="12"/>
      <c r="AG598" s="12"/>
      <c r="AH598" s="12"/>
      <c r="AI598" s="12"/>
    </row>
    <row r="599" spans="1:35" s="10" customFormat="1" x14ac:dyDescent="0.35">
      <c r="A599" s="12"/>
      <c r="B599" s="12"/>
      <c r="C599" s="12"/>
      <c r="D599" s="12"/>
      <c r="E599" s="12"/>
      <c r="I599" s="14"/>
      <c r="M599" s="12"/>
      <c r="T599" s="12"/>
      <c r="U599" s="12"/>
      <c r="V599" s="12"/>
      <c r="W599" s="12"/>
      <c r="X599" s="12"/>
      <c r="Y599" s="12"/>
      <c r="Z599" s="12"/>
      <c r="AA599" s="12"/>
      <c r="AB599" s="12"/>
      <c r="AC599" s="12"/>
      <c r="AD599" s="12"/>
      <c r="AE599" s="12"/>
      <c r="AF599" s="12"/>
      <c r="AG599" s="12"/>
      <c r="AH599" s="12"/>
      <c r="AI599" s="12"/>
    </row>
    <row r="600" spans="1:35" s="10" customFormat="1" x14ac:dyDescent="0.35">
      <c r="A600" s="12"/>
      <c r="B600" s="12"/>
      <c r="C600" s="12"/>
      <c r="D600" s="12"/>
      <c r="E600" s="12"/>
      <c r="I600" s="14"/>
      <c r="M600" s="12"/>
      <c r="T600" s="12"/>
      <c r="U600" s="12"/>
      <c r="V600" s="12"/>
      <c r="W600" s="12"/>
      <c r="X600" s="12"/>
      <c r="Y600" s="12"/>
      <c r="Z600" s="12"/>
      <c r="AA600" s="12"/>
      <c r="AB600" s="12"/>
      <c r="AC600" s="12"/>
      <c r="AD600" s="12"/>
      <c r="AE600" s="12"/>
      <c r="AF600" s="12"/>
      <c r="AG600" s="12"/>
      <c r="AH600" s="12"/>
      <c r="AI600" s="12"/>
    </row>
    <row r="601" spans="1:35" s="10" customFormat="1" x14ac:dyDescent="0.35">
      <c r="A601" s="12"/>
      <c r="B601" s="12"/>
      <c r="C601" s="12"/>
      <c r="D601" s="12"/>
      <c r="E601" s="12"/>
      <c r="I601" s="14"/>
      <c r="M601" s="12"/>
      <c r="T601" s="12"/>
      <c r="U601" s="12"/>
      <c r="V601" s="12"/>
      <c r="W601" s="12"/>
      <c r="X601" s="12"/>
      <c r="Y601" s="12"/>
      <c r="Z601" s="12"/>
      <c r="AA601" s="12"/>
      <c r="AB601" s="12"/>
      <c r="AC601" s="12"/>
      <c r="AD601" s="12"/>
      <c r="AE601" s="12"/>
      <c r="AF601" s="12"/>
      <c r="AG601" s="12"/>
      <c r="AH601" s="12"/>
      <c r="AI601" s="12"/>
    </row>
    <row r="602" spans="1:35" s="10" customFormat="1" x14ac:dyDescent="0.35">
      <c r="A602" s="12"/>
      <c r="B602" s="12"/>
      <c r="C602" s="12"/>
      <c r="D602" s="12"/>
      <c r="E602" s="12"/>
      <c r="I602" s="14"/>
      <c r="M602" s="12"/>
      <c r="T602" s="12"/>
      <c r="U602" s="12"/>
      <c r="V602" s="12"/>
      <c r="W602" s="12"/>
      <c r="X602" s="12"/>
      <c r="Y602" s="12"/>
      <c r="Z602" s="12"/>
      <c r="AA602" s="12"/>
      <c r="AB602" s="12"/>
      <c r="AC602" s="12"/>
      <c r="AD602" s="12"/>
      <c r="AE602" s="12"/>
      <c r="AF602" s="12"/>
      <c r="AG602" s="12"/>
      <c r="AH602" s="12"/>
      <c r="AI602" s="12"/>
    </row>
    <row r="603" spans="1:35" s="10" customFormat="1" x14ac:dyDescent="0.35">
      <c r="A603" s="12"/>
      <c r="B603" s="12"/>
      <c r="C603" s="12"/>
      <c r="D603" s="12"/>
      <c r="E603" s="12"/>
      <c r="I603" s="14"/>
      <c r="M603" s="12"/>
      <c r="T603" s="12"/>
      <c r="U603" s="12"/>
      <c r="V603" s="12"/>
      <c r="W603" s="12"/>
      <c r="X603" s="12"/>
      <c r="Y603" s="12"/>
      <c r="Z603" s="12"/>
      <c r="AA603" s="12"/>
      <c r="AB603" s="12"/>
      <c r="AC603" s="12"/>
      <c r="AD603" s="12"/>
      <c r="AE603" s="12"/>
      <c r="AF603" s="12"/>
      <c r="AG603" s="12"/>
      <c r="AH603" s="12"/>
      <c r="AI603" s="12"/>
    </row>
    <row r="604" spans="1:35" s="10" customFormat="1" x14ac:dyDescent="0.35">
      <c r="A604" s="12"/>
      <c r="B604" s="12"/>
      <c r="C604" s="12"/>
      <c r="D604" s="12"/>
      <c r="E604" s="12"/>
      <c r="I604" s="14"/>
      <c r="M604" s="12"/>
      <c r="T604" s="12"/>
      <c r="U604" s="12"/>
      <c r="V604" s="12"/>
      <c r="W604" s="12"/>
      <c r="X604" s="12"/>
      <c r="Y604" s="12"/>
      <c r="Z604" s="12"/>
      <c r="AA604" s="12"/>
      <c r="AB604" s="12"/>
      <c r="AC604" s="12"/>
      <c r="AD604" s="12"/>
      <c r="AE604" s="12"/>
      <c r="AF604" s="12"/>
      <c r="AG604" s="12"/>
      <c r="AH604" s="12"/>
      <c r="AI604" s="12"/>
    </row>
    <row r="605" spans="1:35" s="10" customFormat="1" x14ac:dyDescent="0.35">
      <c r="A605" s="12"/>
      <c r="B605" s="12"/>
      <c r="C605" s="12"/>
      <c r="D605" s="12"/>
      <c r="E605" s="12"/>
      <c r="I605" s="14"/>
      <c r="M605" s="12"/>
      <c r="T605" s="12"/>
      <c r="U605" s="12"/>
      <c r="V605" s="12"/>
      <c r="W605" s="12"/>
      <c r="X605" s="12"/>
      <c r="Y605" s="12"/>
      <c r="Z605" s="12"/>
      <c r="AA605" s="12"/>
      <c r="AB605" s="12"/>
      <c r="AC605" s="12"/>
      <c r="AD605" s="12"/>
      <c r="AE605" s="12"/>
      <c r="AF605" s="12"/>
      <c r="AG605" s="12"/>
      <c r="AH605" s="12"/>
      <c r="AI605" s="12"/>
    </row>
    <row r="606" spans="1:35" s="10" customFormat="1" x14ac:dyDescent="0.35">
      <c r="A606" s="12"/>
      <c r="B606" s="12"/>
      <c r="C606" s="12"/>
      <c r="D606" s="12"/>
      <c r="E606" s="12"/>
      <c r="I606" s="14"/>
      <c r="M606" s="12"/>
      <c r="T606" s="12"/>
      <c r="U606" s="12"/>
      <c r="V606" s="12"/>
      <c r="W606" s="12"/>
      <c r="X606" s="12"/>
      <c r="Y606" s="12"/>
      <c r="Z606" s="12"/>
      <c r="AA606" s="12"/>
      <c r="AB606" s="12"/>
      <c r="AC606" s="12"/>
      <c r="AD606" s="12"/>
      <c r="AE606" s="12"/>
      <c r="AF606" s="12"/>
      <c r="AG606" s="12"/>
      <c r="AH606" s="12"/>
      <c r="AI606" s="12"/>
    </row>
    <row r="607" spans="1:35" s="10" customFormat="1" x14ac:dyDescent="0.35">
      <c r="A607" s="12"/>
      <c r="B607" s="12"/>
      <c r="C607" s="12"/>
      <c r="D607" s="12"/>
      <c r="E607" s="12"/>
      <c r="I607" s="14"/>
      <c r="M607" s="12"/>
      <c r="T607" s="12"/>
      <c r="U607" s="12"/>
      <c r="V607" s="12"/>
      <c r="W607" s="12"/>
      <c r="X607" s="12"/>
      <c r="Y607" s="12"/>
      <c r="Z607" s="12"/>
      <c r="AA607" s="12"/>
      <c r="AB607" s="12"/>
      <c r="AC607" s="12"/>
      <c r="AD607" s="12"/>
      <c r="AE607" s="12"/>
      <c r="AF607" s="12"/>
      <c r="AG607" s="12"/>
      <c r="AH607" s="12"/>
      <c r="AI607" s="12"/>
    </row>
    <row r="608" spans="1:35" s="10" customFormat="1" x14ac:dyDescent="0.35">
      <c r="A608" s="12"/>
      <c r="B608" s="12"/>
      <c r="C608" s="12"/>
      <c r="D608" s="12"/>
      <c r="E608" s="12"/>
      <c r="I608" s="14"/>
      <c r="M608" s="12"/>
      <c r="T608" s="12"/>
      <c r="U608" s="12"/>
      <c r="V608" s="12"/>
      <c r="W608" s="12"/>
      <c r="X608" s="12"/>
      <c r="Y608" s="12"/>
      <c r="Z608" s="12"/>
      <c r="AA608" s="12"/>
      <c r="AB608" s="12"/>
      <c r="AC608" s="12"/>
      <c r="AD608" s="12"/>
      <c r="AE608" s="12"/>
      <c r="AF608" s="12"/>
      <c r="AG608" s="12"/>
      <c r="AH608" s="12"/>
      <c r="AI608" s="12"/>
    </row>
    <row r="609" spans="1:35" s="10" customFormat="1" x14ac:dyDescent="0.35">
      <c r="A609" s="12"/>
      <c r="B609" s="12"/>
      <c r="C609" s="12"/>
      <c r="D609" s="12"/>
      <c r="E609" s="12"/>
      <c r="I609" s="14"/>
      <c r="M609" s="12"/>
      <c r="T609" s="12"/>
      <c r="U609" s="12"/>
      <c r="V609" s="12"/>
      <c r="W609" s="12"/>
      <c r="X609" s="12"/>
      <c r="Y609" s="12"/>
      <c r="Z609" s="12"/>
      <c r="AA609" s="12"/>
      <c r="AB609" s="12"/>
      <c r="AC609" s="12"/>
      <c r="AD609" s="12"/>
      <c r="AE609" s="12"/>
      <c r="AF609" s="12"/>
      <c r="AG609" s="12"/>
      <c r="AH609" s="12"/>
      <c r="AI609" s="12"/>
    </row>
    <row r="610" spans="1:35" s="10" customFormat="1" x14ac:dyDescent="0.35">
      <c r="A610" s="12"/>
      <c r="B610" s="12"/>
      <c r="C610" s="12"/>
      <c r="D610" s="12"/>
      <c r="E610" s="12"/>
      <c r="I610" s="14"/>
      <c r="M610" s="12"/>
      <c r="T610" s="12"/>
      <c r="U610" s="12"/>
      <c r="V610" s="12"/>
      <c r="W610" s="12"/>
      <c r="X610" s="12"/>
      <c r="Y610" s="12"/>
      <c r="Z610" s="12"/>
      <c r="AA610" s="12"/>
      <c r="AB610" s="12"/>
      <c r="AC610" s="12"/>
      <c r="AD610" s="12"/>
      <c r="AE610" s="12"/>
      <c r="AF610" s="12"/>
      <c r="AG610" s="12"/>
      <c r="AH610" s="12"/>
      <c r="AI610" s="12"/>
    </row>
    <row r="611" spans="1:35" s="10" customFormat="1" x14ac:dyDescent="0.35">
      <c r="A611" s="12"/>
      <c r="B611" s="12"/>
      <c r="C611" s="12"/>
      <c r="D611" s="12"/>
      <c r="E611" s="12"/>
      <c r="I611" s="14"/>
      <c r="M611" s="12"/>
      <c r="T611" s="12"/>
      <c r="U611" s="12"/>
      <c r="V611" s="12"/>
      <c r="W611" s="12"/>
      <c r="X611" s="12"/>
      <c r="Y611" s="12"/>
      <c r="Z611" s="12"/>
      <c r="AA611" s="12"/>
      <c r="AB611" s="12"/>
      <c r="AC611" s="12"/>
      <c r="AD611" s="12"/>
      <c r="AE611" s="12"/>
      <c r="AF611" s="12"/>
      <c r="AG611" s="12"/>
      <c r="AH611" s="12"/>
      <c r="AI611" s="12"/>
    </row>
    <row r="612" spans="1:35" s="10" customFormat="1" x14ac:dyDescent="0.35">
      <c r="A612" s="12"/>
      <c r="B612" s="12"/>
      <c r="C612" s="12"/>
      <c r="D612" s="12"/>
      <c r="E612" s="12"/>
      <c r="I612" s="14"/>
      <c r="M612" s="12"/>
      <c r="T612" s="12"/>
      <c r="U612" s="12"/>
      <c r="V612" s="12"/>
      <c r="W612" s="12"/>
      <c r="X612" s="12"/>
      <c r="Y612" s="12"/>
      <c r="Z612" s="12"/>
      <c r="AA612" s="12"/>
      <c r="AB612" s="12"/>
      <c r="AC612" s="12"/>
      <c r="AD612" s="12"/>
      <c r="AE612" s="12"/>
      <c r="AF612" s="12"/>
      <c r="AG612" s="12"/>
      <c r="AH612" s="12"/>
      <c r="AI612" s="12"/>
    </row>
    <row r="613" spans="1:35" s="10" customFormat="1" x14ac:dyDescent="0.35">
      <c r="A613" s="12"/>
      <c r="B613" s="12"/>
      <c r="C613" s="12"/>
      <c r="D613" s="12"/>
      <c r="E613" s="12"/>
      <c r="I613" s="14"/>
      <c r="M613" s="12"/>
      <c r="T613" s="12"/>
      <c r="U613" s="12"/>
      <c r="V613" s="12"/>
      <c r="W613" s="12"/>
      <c r="X613" s="12"/>
      <c r="Y613" s="12"/>
      <c r="Z613" s="12"/>
      <c r="AA613" s="12"/>
      <c r="AB613" s="12"/>
      <c r="AC613" s="12"/>
      <c r="AD613" s="12"/>
      <c r="AE613" s="12"/>
      <c r="AF613" s="12"/>
      <c r="AG613" s="12"/>
      <c r="AH613" s="12"/>
      <c r="AI613" s="12"/>
    </row>
    <row r="614" spans="1:35" s="10" customFormat="1" x14ac:dyDescent="0.35">
      <c r="A614" s="12"/>
      <c r="B614" s="12"/>
      <c r="C614" s="12"/>
      <c r="D614" s="12"/>
      <c r="E614" s="12"/>
      <c r="I614" s="14"/>
      <c r="M614" s="12"/>
      <c r="T614" s="12"/>
      <c r="U614" s="12"/>
      <c r="V614" s="12"/>
      <c r="W614" s="12"/>
      <c r="X614" s="12"/>
      <c r="Y614" s="12"/>
      <c r="Z614" s="12"/>
      <c r="AA614" s="12"/>
      <c r="AB614" s="12"/>
      <c r="AC614" s="12"/>
      <c r="AD614" s="12"/>
      <c r="AE614" s="12"/>
      <c r="AF614" s="12"/>
      <c r="AG614" s="12"/>
      <c r="AH614" s="12"/>
      <c r="AI614" s="12"/>
    </row>
    <row r="615" spans="1:35" s="10" customFormat="1" x14ac:dyDescent="0.35">
      <c r="A615" s="12"/>
      <c r="B615" s="12"/>
      <c r="C615" s="12"/>
      <c r="D615" s="12"/>
      <c r="E615" s="12"/>
      <c r="I615" s="14"/>
      <c r="M615" s="12"/>
      <c r="T615" s="12"/>
      <c r="U615" s="12"/>
      <c r="V615" s="12"/>
      <c r="W615" s="12"/>
      <c r="X615" s="12"/>
      <c r="Y615" s="12"/>
      <c r="Z615" s="12"/>
      <c r="AA615" s="12"/>
      <c r="AB615" s="12"/>
      <c r="AC615" s="12"/>
      <c r="AD615" s="12"/>
      <c r="AE615" s="12"/>
      <c r="AF615" s="12"/>
      <c r="AG615" s="12"/>
      <c r="AH615" s="12"/>
      <c r="AI615" s="12"/>
    </row>
    <row r="616" spans="1:35" s="10" customFormat="1" x14ac:dyDescent="0.35">
      <c r="A616" s="12"/>
      <c r="B616" s="12"/>
      <c r="C616" s="12"/>
      <c r="D616" s="12"/>
      <c r="E616" s="12"/>
      <c r="I616" s="14"/>
      <c r="M616" s="12"/>
      <c r="T616" s="12"/>
      <c r="U616" s="12"/>
      <c r="V616" s="12"/>
      <c r="W616" s="12"/>
      <c r="X616" s="12"/>
      <c r="Y616" s="12"/>
      <c r="Z616" s="12"/>
      <c r="AA616" s="12"/>
      <c r="AB616" s="12"/>
      <c r="AC616" s="12"/>
      <c r="AD616" s="12"/>
      <c r="AE616" s="12"/>
      <c r="AF616" s="12"/>
      <c r="AG616" s="12"/>
      <c r="AH616" s="12"/>
      <c r="AI616" s="12"/>
    </row>
    <row r="617" spans="1:35" s="10" customFormat="1" x14ac:dyDescent="0.35">
      <c r="A617" s="12"/>
      <c r="B617" s="12"/>
      <c r="C617" s="12"/>
      <c r="D617" s="12"/>
      <c r="E617" s="12"/>
      <c r="I617" s="14"/>
      <c r="M617" s="12"/>
      <c r="T617" s="12"/>
      <c r="U617" s="12"/>
      <c r="V617" s="12"/>
      <c r="W617" s="12"/>
      <c r="X617" s="12"/>
      <c r="Y617" s="12"/>
      <c r="Z617" s="12"/>
      <c r="AA617" s="12"/>
      <c r="AB617" s="12"/>
      <c r="AC617" s="12"/>
      <c r="AD617" s="12"/>
      <c r="AE617" s="12"/>
      <c r="AF617" s="12"/>
      <c r="AG617" s="12"/>
      <c r="AH617" s="12"/>
      <c r="AI617" s="12"/>
    </row>
    <row r="618" spans="1:35" s="10" customFormat="1" x14ac:dyDescent="0.35">
      <c r="A618" s="12"/>
      <c r="B618" s="12"/>
      <c r="C618" s="12"/>
      <c r="D618" s="12"/>
      <c r="E618" s="12"/>
      <c r="I618" s="14"/>
      <c r="M618" s="12"/>
      <c r="T618" s="12"/>
      <c r="U618" s="12"/>
      <c r="V618" s="12"/>
      <c r="W618" s="12"/>
      <c r="X618" s="12"/>
      <c r="Y618" s="12"/>
      <c r="Z618" s="12"/>
      <c r="AA618" s="12"/>
      <c r="AB618" s="12"/>
      <c r="AC618" s="12"/>
      <c r="AD618" s="12"/>
      <c r="AE618" s="12"/>
      <c r="AF618" s="12"/>
      <c r="AG618" s="12"/>
      <c r="AH618" s="12"/>
      <c r="AI618" s="12"/>
    </row>
    <row r="619" spans="1:35" s="10" customFormat="1" x14ac:dyDescent="0.35">
      <c r="A619" s="12"/>
      <c r="B619" s="12"/>
      <c r="C619" s="12"/>
      <c r="D619" s="12"/>
      <c r="E619" s="12"/>
      <c r="I619" s="14"/>
      <c r="M619" s="12"/>
      <c r="T619" s="12"/>
      <c r="U619" s="12"/>
      <c r="V619" s="12"/>
      <c r="W619" s="12"/>
      <c r="X619" s="12"/>
      <c r="Y619" s="12"/>
      <c r="Z619" s="12"/>
      <c r="AA619" s="12"/>
      <c r="AB619" s="12"/>
      <c r="AC619" s="12"/>
      <c r="AD619" s="12"/>
      <c r="AE619" s="12"/>
      <c r="AF619" s="12"/>
      <c r="AG619" s="12"/>
      <c r="AH619" s="12"/>
      <c r="AI619" s="12"/>
    </row>
    <row r="620" spans="1:35" s="10" customFormat="1" x14ac:dyDescent="0.35">
      <c r="A620" s="12"/>
      <c r="B620" s="12"/>
      <c r="C620" s="12"/>
      <c r="D620" s="12"/>
      <c r="E620" s="12"/>
      <c r="I620" s="14"/>
      <c r="M620" s="12"/>
      <c r="T620" s="12"/>
      <c r="U620" s="12"/>
      <c r="V620" s="12"/>
      <c r="W620" s="12"/>
      <c r="X620" s="12"/>
      <c r="Y620" s="12"/>
      <c r="Z620" s="12"/>
      <c r="AA620" s="12"/>
      <c r="AB620" s="12"/>
      <c r="AC620" s="12"/>
      <c r="AD620" s="12"/>
      <c r="AE620" s="12"/>
      <c r="AF620" s="12"/>
      <c r="AG620" s="12"/>
      <c r="AH620" s="12"/>
      <c r="AI620" s="12"/>
    </row>
    <row r="621" spans="1:35" s="10" customFormat="1" x14ac:dyDescent="0.35">
      <c r="A621" s="12"/>
      <c r="B621" s="12"/>
      <c r="C621" s="12"/>
      <c r="D621" s="12"/>
      <c r="E621" s="12"/>
      <c r="I621" s="14"/>
      <c r="M621" s="12"/>
      <c r="T621" s="12"/>
      <c r="U621" s="12"/>
      <c r="V621" s="12"/>
      <c r="W621" s="12"/>
      <c r="X621" s="12"/>
      <c r="Y621" s="12"/>
      <c r="Z621" s="12"/>
      <c r="AA621" s="12"/>
      <c r="AB621" s="12"/>
      <c r="AC621" s="12"/>
      <c r="AD621" s="12"/>
      <c r="AE621" s="12"/>
      <c r="AF621" s="12"/>
      <c r="AG621" s="12"/>
      <c r="AH621" s="12"/>
      <c r="AI621" s="12"/>
    </row>
    <row r="622" spans="1:35" s="10" customFormat="1" x14ac:dyDescent="0.35">
      <c r="A622" s="12"/>
      <c r="B622" s="12"/>
      <c r="C622" s="12"/>
      <c r="D622" s="12"/>
      <c r="E622" s="12"/>
      <c r="I622" s="14"/>
      <c r="M622" s="12"/>
      <c r="T622" s="12"/>
      <c r="U622" s="12"/>
      <c r="V622" s="12"/>
      <c r="W622" s="12"/>
      <c r="X622" s="12"/>
      <c r="Y622" s="12"/>
      <c r="Z622" s="12"/>
      <c r="AA622" s="12"/>
      <c r="AB622" s="12"/>
      <c r="AC622" s="12"/>
      <c r="AD622" s="12"/>
      <c r="AE622" s="12"/>
      <c r="AF622" s="12"/>
      <c r="AG622" s="12"/>
      <c r="AH622" s="12"/>
      <c r="AI622" s="12"/>
    </row>
    <row r="623" spans="1:35" s="10" customFormat="1" x14ac:dyDescent="0.35">
      <c r="A623" s="12"/>
      <c r="B623" s="12"/>
      <c r="C623" s="12"/>
      <c r="D623" s="12"/>
      <c r="E623" s="12"/>
      <c r="I623" s="14"/>
      <c r="M623" s="12"/>
      <c r="T623" s="12"/>
      <c r="U623" s="12"/>
      <c r="V623" s="12"/>
      <c r="W623" s="12"/>
      <c r="X623" s="12"/>
      <c r="Y623" s="12"/>
      <c r="Z623" s="12"/>
      <c r="AA623" s="12"/>
      <c r="AB623" s="12"/>
      <c r="AC623" s="12"/>
      <c r="AD623" s="12"/>
      <c r="AE623" s="12"/>
      <c r="AF623" s="12"/>
      <c r="AG623" s="12"/>
      <c r="AH623" s="12"/>
      <c r="AI623" s="12"/>
    </row>
    <row r="624" spans="1:35" s="10" customFormat="1" x14ac:dyDescent="0.35">
      <c r="A624" s="12"/>
      <c r="B624" s="12"/>
      <c r="C624" s="12"/>
      <c r="D624" s="12"/>
      <c r="E624" s="12"/>
      <c r="I624" s="14"/>
      <c r="M624" s="12"/>
      <c r="T624" s="12"/>
      <c r="U624" s="12"/>
      <c r="V624" s="12"/>
      <c r="W624" s="12"/>
      <c r="X624" s="12"/>
      <c r="Y624" s="12"/>
      <c r="Z624" s="12"/>
      <c r="AA624" s="12"/>
      <c r="AB624" s="12"/>
      <c r="AC624" s="12"/>
      <c r="AD624" s="12"/>
      <c r="AE624" s="12"/>
      <c r="AF624" s="12"/>
      <c r="AG624" s="12"/>
      <c r="AH624" s="12"/>
      <c r="AI624" s="12"/>
    </row>
    <row r="625" spans="1:35" s="10" customFormat="1" x14ac:dyDescent="0.35">
      <c r="A625" s="12"/>
      <c r="B625" s="12"/>
      <c r="C625" s="12"/>
      <c r="D625" s="12"/>
      <c r="E625" s="12"/>
      <c r="I625" s="14"/>
      <c r="M625" s="12"/>
      <c r="T625" s="12"/>
      <c r="U625" s="12"/>
      <c r="V625" s="12"/>
      <c r="W625" s="12"/>
      <c r="X625" s="12"/>
      <c r="Y625" s="12"/>
      <c r="Z625" s="12"/>
      <c r="AA625" s="12"/>
      <c r="AB625" s="12"/>
      <c r="AC625" s="12"/>
      <c r="AD625" s="12"/>
      <c r="AE625" s="12"/>
      <c r="AF625" s="12"/>
      <c r="AG625" s="12"/>
      <c r="AH625" s="12"/>
      <c r="AI625" s="12"/>
    </row>
    <row r="626" spans="1:35" s="10" customFormat="1" x14ac:dyDescent="0.35">
      <c r="A626" s="12"/>
      <c r="B626" s="12"/>
      <c r="C626" s="12"/>
      <c r="D626" s="12"/>
      <c r="E626" s="12"/>
      <c r="I626" s="14"/>
      <c r="M626" s="12"/>
      <c r="T626" s="12"/>
      <c r="U626" s="12"/>
      <c r="V626" s="12"/>
      <c r="W626" s="12"/>
      <c r="X626" s="12"/>
      <c r="Y626" s="12"/>
      <c r="Z626" s="12"/>
      <c r="AA626" s="12"/>
      <c r="AB626" s="12"/>
      <c r="AC626" s="12"/>
      <c r="AD626" s="12"/>
      <c r="AE626" s="12"/>
      <c r="AF626" s="12"/>
      <c r="AG626" s="12"/>
      <c r="AH626" s="12"/>
      <c r="AI626" s="12"/>
    </row>
    <row r="627" spans="1:35" s="10" customFormat="1" x14ac:dyDescent="0.35">
      <c r="A627" s="12"/>
      <c r="B627" s="12"/>
      <c r="C627" s="12"/>
      <c r="D627" s="12"/>
      <c r="E627" s="12"/>
      <c r="I627" s="14"/>
      <c r="M627" s="12"/>
      <c r="T627" s="12"/>
      <c r="U627" s="12"/>
      <c r="V627" s="12"/>
      <c r="W627" s="12"/>
      <c r="X627" s="12"/>
      <c r="Y627" s="12"/>
      <c r="Z627" s="12"/>
      <c r="AA627" s="12"/>
      <c r="AB627" s="12"/>
      <c r="AC627" s="12"/>
      <c r="AD627" s="12"/>
      <c r="AE627" s="12"/>
      <c r="AF627" s="12"/>
      <c r="AG627" s="12"/>
      <c r="AH627" s="12"/>
      <c r="AI627" s="12"/>
    </row>
    <row r="628" spans="1:35" s="10" customFormat="1" x14ac:dyDescent="0.35">
      <c r="A628" s="12"/>
      <c r="B628" s="12"/>
      <c r="C628" s="12"/>
      <c r="D628" s="12"/>
      <c r="E628" s="12"/>
      <c r="I628" s="14"/>
      <c r="M628" s="12"/>
      <c r="T628" s="12"/>
      <c r="U628" s="12"/>
      <c r="V628" s="12"/>
      <c r="W628" s="12"/>
      <c r="X628" s="12"/>
      <c r="Y628" s="12"/>
      <c r="Z628" s="12"/>
      <c r="AA628" s="12"/>
      <c r="AB628" s="12"/>
      <c r="AC628" s="12"/>
      <c r="AD628" s="12"/>
      <c r="AE628" s="12"/>
      <c r="AF628" s="12"/>
      <c r="AG628" s="12"/>
      <c r="AH628" s="12"/>
      <c r="AI628" s="12"/>
    </row>
    <row r="629" spans="1:35" s="10" customFormat="1" x14ac:dyDescent="0.35">
      <c r="A629" s="12"/>
      <c r="B629" s="12"/>
      <c r="C629" s="12"/>
      <c r="D629" s="12"/>
      <c r="E629" s="12"/>
      <c r="I629" s="14"/>
      <c r="M629" s="12"/>
      <c r="T629" s="12"/>
      <c r="U629" s="12"/>
      <c r="V629" s="12"/>
      <c r="W629" s="12"/>
      <c r="X629" s="12"/>
      <c r="Y629" s="12"/>
      <c r="Z629" s="12"/>
      <c r="AA629" s="12"/>
      <c r="AB629" s="12"/>
      <c r="AC629" s="12"/>
      <c r="AD629" s="12"/>
      <c r="AE629" s="12"/>
      <c r="AF629" s="12"/>
      <c r="AG629" s="12"/>
      <c r="AH629" s="12"/>
      <c r="AI629" s="12"/>
    </row>
    <row r="630" spans="1:35" s="10" customFormat="1" x14ac:dyDescent="0.35">
      <c r="A630" s="12"/>
      <c r="B630" s="12"/>
      <c r="C630" s="12"/>
      <c r="D630" s="12"/>
      <c r="E630" s="12"/>
      <c r="I630" s="14"/>
      <c r="M630" s="12"/>
      <c r="T630" s="12"/>
      <c r="U630" s="12"/>
      <c r="V630" s="12"/>
      <c r="W630" s="12"/>
      <c r="X630" s="12"/>
      <c r="Y630" s="12"/>
      <c r="Z630" s="12"/>
      <c r="AA630" s="12"/>
      <c r="AB630" s="12"/>
      <c r="AC630" s="12"/>
      <c r="AD630" s="12"/>
      <c r="AE630" s="12"/>
      <c r="AF630" s="12"/>
      <c r="AG630" s="12"/>
      <c r="AH630" s="12"/>
      <c r="AI630" s="12"/>
    </row>
    <row r="631" spans="1:35" s="10" customFormat="1" x14ac:dyDescent="0.35">
      <c r="A631" s="12"/>
      <c r="B631" s="12"/>
      <c r="C631" s="12"/>
      <c r="D631" s="12"/>
      <c r="E631" s="12"/>
      <c r="I631" s="14"/>
      <c r="M631" s="12"/>
      <c r="T631" s="12"/>
      <c r="U631" s="12"/>
      <c r="V631" s="12"/>
      <c r="W631" s="12"/>
      <c r="X631" s="12"/>
      <c r="Y631" s="12"/>
      <c r="Z631" s="12"/>
      <c r="AA631" s="12"/>
      <c r="AB631" s="12"/>
      <c r="AC631" s="12"/>
      <c r="AD631" s="12"/>
      <c r="AE631" s="12"/>
      <c r="AF631" s="12"/>
      <c r="AG631" s="12"/>
      <c r="AH631" s="12"/>
      <c r="AI631" s="12"/>
    </row>
    <row r="632" spans="1:35" s="10" customFormat="1" x14ac:dyDescent="0.35">
      <c r="A632" s="12"/>
      <c r="B632" s="12"/>
      <c r="C632" s="12"/>
      <c r="D632" s="12"/>
      <c r="E632" s="12"/>
      <c r="I632" s="14"/>
      <c r="M632" s="12"/>
      <c r="T632" s="12"/>
      <c r="U632" s="12"/>
      <c r="V632" s="12"/>
      <c r="W632" s="12"/>
      <c r="X632" s="12"/>
      <c r="Y632" s="12"/>
      <c r="Z632" s="12"/>
      <c r="AA632" s="12"/>
      <c r="AB632" s="12"/>
      <c r="AC632" s="12"/>
      <c r="AD632" s="12"/>
      <c r="AE632" s="12"/>
      <c r="AF632" s="12"/>
      <c r="AG632" s="12"/>
      <c r="AH632" s="12"/>
      <c r="AI632" s="12"/>
    </row>
    <row r="633" spans="1:35" s="10" customFormat="1" x14ac:dyDescent="0.35">
      <c r="A633" s="12"/>
      <c r="B633" s="12"/>
      <c r="C633" s="12"/>
      <c r="D633" s="12"/>
      <c r="E633" s="12"/>
      <c r="I633" s="14"/>
      <c r="M633" s="12"/>
      <c r="T633" s="12"/>
      <c r="U633" s="12"/>
      <c r="V633" s="12"/>
      <c r="W633" s="12"/>
      <c r="X633" s="12"/>
      <c r="Y633" s="12"/>
      <c r="Z633" s="12"/>
      <c r="AA633" s="12"/>
      <c r="AB633" s="12"/>
      <c r="AC633" s="12"/>
      <c r="AD633" s="12"/>
      <c r="AE633" s="12"/>
      <c r="AF633" s="12"/>
      <c r="AG633" s="12"/>
      <c r="AH633" s="12"/>
      <c r="AI633" s="12"/>
    </row>
    <row r="634" spans="1:35" s="10" customFormat="1" x14ac:dyDescent="0.35">
      <c r="A634" s="12"/>
      <c r="B634" s="12"/>
      <c r="C634" s="12"/>
      <c r="D634" s="12"/>
      <c r="E634" s="12"/>
      <c r="I634" s="14"/>
      <c r="M634" s="12"/>
      <c r="T634" s="12"/>
      <c r="U634" s="12"/>
      <c r="V634" s="12"/>
      <c r="W634" s="12"/>
      <c r="X634" s="12"/>
      <c r="Y634" s="12"/>
      <c r="Z634" s="12"/>
      <c r="AA634" s="12"/>
      <c r="AB634" s="12"/>
      <c r="AC634" s="12"/>
      <c r="AD634" s="12"/>
      <c r="AE634" s="12"/>
      <c r="AF634" s="12"/>
      <c r="AG634" s="12"/>
      <c r="AH634" s="12"/>
      <c r="AI634" s="12"/>
    </row>
    <row r="635" spans="1:35" s="10" customFormat="1" x14ac:dyDescent="0.35">
      <c r="A635" s="12"/>
      <c r="B635" s="12"/>
      <c r="C635" s="12"/>
      <c r="D635" s="12"/>
      <c r="E635" s="12"/>
      <c r="I635" s="14"/>
      <c r="M635" s="12"/>
      <c r="T635" s="12"/>
      <c r="U635" s="12"/>
      <c r="V635" s="12"/>
      <c r="W635" s="12"/>
      <c r="X635" s="12"/>
      <c r="Y635" s="12"/>
      <c r="Z635" s="12"/>
      <c r="AA635" s="12"/>
      <c r="AB635" s="12"/>
      <c r="AC635" s="12"/>
      <c r="AD635" s="12"/>
      <c r="AE635" s="12"/>
      <c r="AF635" s="12"/>
      <c r="AG635" s="12"/>
      <c r="AH635" s="12"/>
      <c r="AI635" s="12"/>
    </row>
    <row r="636" spans="1:35" s="10" customFormat="1" x14ac:dyDescent="0.35">
      <c r="A636" s="12"/>
      <c r="B636" s="12"/>
      <c r="C636" s="12"/>
      <c r="D636" s="12"/>
      <c r="E636" s="12"/>
      <c r="I636" s="14"/>
      <c r="M636" s="12"/>
      <c r="T636" s="12"/>
      <c r="U636" s="12"/>
      <c r="V636" s="12"/>
      <c r="W636" s="12"/>
      <c r="X636" s="12"/>
      <c r="Y636" s="12"/>
      <c r="Z636" s="12"/>
      <c r="AA636" s="12"/>
      <c r="AB636" s="12"/>
      <c r="AC636" s="12"/>
      <c r="AD636" s="12"/>
      <c r="AE636" s="12"/>
      <c r="AF636" s="12"/>
      <c r="AG636" s="12"/>
      <c r="AH636" s="12"/>
      <c r="AI636" s="12"/>
    </row>
    <row r="637" spans="1:35" s="10" customFormat="1" x14ac:dyDescent="0.35">
      <c r="A637" s="12"/>
      <c r="B637" s="12"/>
      <c r="C637" s="12"/>
      <c r="D637" s="12"/>
      <c r="E637" s="12"/>
      <c r="I637" s="14"/>
      <c r="M637" s="12"/>
      <c r="T637" s="12"/>
      <c r="U637" s="12"/>
      <c r="V637" s="12"/>
      <c r="W637" s="12"/>
      <c r="X637" s="12"/>
      <c r="Y637" s="12"/>
      <c r="Z637" s="12"/>
      <c r="AA637" s="12"/>
      <c r="AB637" s="12"/>
      <c r="AC637" s="12"/>
      <c r="AD637" s="12"/>
      <c r="AE637" s="12"/>
      <c r="AF637" s="12"/>
      <c r="AG637" s="12"/>
      <c r="AH637" s="12"/>
      <c r="AI637" s="12"/>
    </row>
    <row r="638" spans="1:35" s="10" customFormat="1" x14ac:dyDescent="0.35">
      <c r="A638" s="12"/>
      <c r="B638" s="12"/>
      <c r="C638" s="12"/>
      <c r="D638" s="12"/>
      <c r="E638" s="12"/>
      <c r="I638" s="14"/>
      <c r="M638" s="12"/>
      <c r="T638" s="12"/>
      <c r="U638" s="12"/>
      <c r="V638" s="12"/>
      <c r="W638" s="12"/>
      <c r="X638" s="12"/>
      <c r="Y638" s="12"/>
      <c r="Z638" s="12"/>
      <c r="AA638" s="12"/>
      <c r="AB638" s="12"/>
      <c r="AC638" s="12"/>
      <c r="AD638" s="12"/>
      <c r="AE638" s="12"/>
      <c r="AF638" s="12"/>
      <c r="AG638" s="12"/>
      <c r="AH638" s="12"/>
      <c r="AI638" s="12"/>
    </row>
    <row r="639" spans="1:35" s="10" customFormat="1" x14ac:dyDescent="0.35">
      <c r="A639" s="12"/>
      <c r="B639" s="12"/>
      <c r="C639" s="12"/>
      <c r="D639" s="12"/>
      <c r="E639" s="12"/>
      <c r="I639" s="14"/>
      <c r="M639" s="12"/>
      <c r="T639" s="12"/>
      <c r="U639" s="12"/>
      <c r="V639" s="12"/>
      <c r="W639" s="12"/>
      <c r="X639" s="12"/>
      <c r="Y639" s="12"/>
      <c r="Z639" s="12"/>
      <c r="AA639" s="12"/>
      <c r="AB639" s="12"/>
      <c r="AC639" s="12"/>
      <c r="AD639" s="12"/>
      <c r="AE639" s="12"/>
      <c r="AF639" s="12"/>
      <c r="AG639" s="12"/>
      <c r="AH639" s="12"/>
      <c r="AI639" s="12"/>
    </row>
    <row r="640" spans="1:35" s="10" customFormat="1" x14ac:dyDescent="0.35">
      <c r="A640" s="12"/>
      <c r="B640" s="12"/>
      <c r="C640" s="12"/>
      <c r="D640" s="12"/>
      <c r="E640" s="12"/>
      <c r="I640" s="14"/>
      <c r="M640" s="12"/>
      <c r="T640" s="12"/>
      <c r="U640" s="12"/>
      <c r="V640" s="12"/>
      <c r="W640" s="12"/>
      <c r="X640" s="12"/>
      <c r="Y640" s="12"/>
      <c r="Z640" s="12"/>
      <c r="AA640" s="12"/>
      <c r="AB640" s="12"/>
      <c r="AC640" s="12"/>
      <c r="AD640" s="12"/>
      <c r="AE640" s="12"/>
      <c r="AF640" s="12"/>
      <c r="AG640" s="12"/>
      <c r="AH640" s="12"/>
      <c r="AI640" s="12"/>
    </row>
    <row r="641" spans="1:35" s="10" customFormat="1" x14ac:dyDescent="0.35">
      <c r="A641" s="12"/>
      <c r="B641" s="12"/>
      <c r="C641" s="12"/>
      <c r="D641" s="12"/>
      <c r="E641" s="12"/>
      <c r="I641" s="14"/>
      <c r="M641" s="12"/>
      <c r="T641" s="12"/>
      <c r="U641" s="12"/>
      <c r="V641" s="12"/>
      <c r="W641" s="12"/>
      <c r="X641" s="12"/>
      <c r="Y641" s="12"/>
      <c r="Z641" s="12"/>
      <c r="AA641" s="12"/>
      <c r="AB641" s="12"/>
      <c r="AC641" s="12"/>
      <c r="AD641" s="12"/>
      <c r="AE641" s="12"/>
      <c r="AF641" s="12"/>
      <c r="AG641" s="12"/>
      <c r="AH641" s="12"/>
      <c r="AI641" s="12"/>
    </row>
    <row r="642" spans="1:35" s="10" customFormat="1" x14ac:dyDescent="0.35">
      <c r="A642" s="12"/>
      <c r="B642" s="12"/>
      <c r="C642" s="12"/>
      <c r="D642" s="12"/>
      <c r="E642" s="12"/>
      <c r="I642" s="14"/>
      <c r="M642" s="12"/>
      <c r="T642" s="12"/>
      <c r="U642" s="12"/>
      <c r="V642" s="12"/>
      <c r="W642" s="12"/>
      <c r="X642" s="12"/>
      <c r="Y642" s="12"/>
      <c r="Z642" s="12"/>
      <c r="AA642" s="12"/>
      <c r="AB642" s="12"/>
      <c r="AC642" s="12"/>
      <c r="AD642" s="12"/>
      <c r="AE642" s="12"/>
      <c r="AF642" s="12"/>
      <c r="AG642" s="12"/>
      <c r="AH642" s="12"/>
      <c r="AI642" s="12"/>
    </row>
    <row r="643" spans="1:35" s="10" customFormat="1" x14ac:dyDescent="0.35">
      <c r="A643" s="12"/>
      <c r="B643" s="12"/>
      <c r="C643" s="12"/>
      <c r="D643" s="12"/>
      <c r="E643" s="12"/>
      <c r="I643" s="14"/>
      <c r="M643" s="12"/>
      <c r="T643" s="12"/>
      <c r="U643" s="12"/>
      <c r="V643" s="12"/>
      <c r="W643" s="12"/>
      <c r="X643" s="12"/>
      <c r="Y643" s="12"/>
      <c r="Z643" s="12"/>
      <c r="AA643" s="12"/>
      <c r="AB643" s="12"/>
      <c r="AC643" s="12"/>
      <c r="AD643" s="12"/>
      <c r="AE643" s="12"/>
      <c r="AF643" s="12"/>
      <c r="AG643" s="12"/>
      <c r="AH643" s="12"/>
      <c r="AI643" s="12"/>
    </row>
    <row r="644" spans="1:35" s="10" customFormat="1" x14ac:dyDescent="0.35">
      <c r="A644" s="12"/>
      <c r="B644" s="12"/>
      <c r="C644" s="12"/>
      <c r="D644" s="12"/>
      <c r="E644" s="12"/>
      <c r="I644" s="14"/>
      <c r="M644" s="12"/>
      <c r="T644" s="12"/>
      <c r="U644" s="12"/>
      <c r="V644" s="12"/>
      <c r="W644" s="12"/>
      <c r="X644" s="12"/>
      <c r="Y644" s="12"/>
      <c r="Z644" s="12"/>
      <c r="AA644" s="12"/>
      <c r="AB644" s="12"/>
      <c r="AC644" s="12"/>
      <c r="AD644" s="12"/>
      <c r="AE644" s="12"/>
      <c r="AF644" s="12"/>
      <c r="AG644" s="12"/>
      <c r="AH644" s="12"/>
      <c r="AI644" s="12"/>
    </row>
    <row r="645" spans="1:35" s="10" customFormat="1" x14ac:dyDescent="0.35">
      <c r="A645" s="12"/>
      <c r="B645" s="12"/>
      <c r="C645" s="12"/>
      <c r="D645" s="12"/>
      <c r="E645" s="12"/>
      <c r="I645" s="14"/>
      <c r="M645" s="12"/>
      <c r="T645" s="12"/>
      <c r="U645" s="12"/>
      <c r="V645" s="12"/>
      <c r="W645" s="12"/>
      <c r="X645" s="12"/>
      <c r="Y645" s="12"/>
      <c r="Z645" s="12"/>
      <c r="AA645" s="12"/>
      <c r="AB645" s="12"/>
      <c r="AC645" s="12"/>
      <c r="AD645" s="12"/>
      <c r="AE645" s="12"/>
      <c r="AF645" s="12"/>
      <c r="AG645" s="12"/>
      <c r="AH645" s="12"/>
      <c r="AI645" s="12"/>
    </row>
    <row r="646" spans="1:35" s="10" customFormat="1" x14ac:dyDescent="0.35">
      <c r="A646" s="12"/>
      <c r="B646" s="12"/>
      <c r="C646" s="12"/>
      <c r="D646" s="12"/>
      <c r="E646" s="12"/>
      <c r="I646" s="14"/>
      <c r="M646" s="12"/>
      <c r="T646" s="12"/>
      <c r="U646" s="12"/>
      <c r="V646" s="12"/>
      <c r="W646" s="12"/>
      <c r="X646" s="12"/>
      <c r="Y646" s="12"/>
      <c r="Z646" s="12"/>
      <c r="AA646" s="12"/>
      <c r="AB646" s="12"/>
      <c r="AC646" s="12"/>
      <c r="AD646" s="12"/>
      <c r="AE646" s="12"/>
      <c r="AF646" s="12"/>
      <c r="AG646" s="12"/>
      <c r="AH646" s="12"/>
      <c r="AI646" s="12"/>
    </row>
    <row r="647" spans="1:35" s="10" customFormat="1" x14ac:dyDescent="0.35">
      <c r="A647" s="12"/>
      <c r="B647" s="12"/>
      <c r="C647" s="12"/>
      <c r="D647" s="12"/>
      <c r="E647" s="12"/>
      <c r="I647" s="14"/>
      <c r="M647" s="12"/>
      <c r="T647" s="12"/>
      <c r="U647" s="12"/>
      <c r="V647" s="12"/>
      <c r="W647" s="12"/>
      <c r="X647" s="12"/>
      <c r="Y647" s="12"/>
      <c r="Z647" s="12"/>
      <c r="AA647" s="12"/>
      <c r="AB647" s="12"/>
      <c r="AC647" s="12"/>
      <c r="AD647" s="12"/>
      <c r="AE647" s="12"/>
      <c r="AF647" s="12"/>
      <c r="AG647" s="12"/>
      <c r="AH647" s="12"/>
      <c r="AI647" s="12"/>
    </row>
    <row r="648" spans="1:35" s="10" customFormat="1" x14ac:dyDescent="0.35">
      <c r="A648" s="12"/>
      <c r="B648" s="12"/>
      <c r="C648" s="12"/>
      <c r="D648" s="12"/>
      <c r="E648" s="12"/>
      <c r="I648" s="14"/>
      <c r="M648" s="12"/>
      <c r="T648" s="12"/>
      <c r="U648" s="12"/>
      <c r="V648" s="12"/>
      <c r="W648" s="12"/>
      <c r="X648" s="12"/>
      <c r="Y648" s="12"/>
      <c r="Z648" s="12"/>
      <c r="AA648" s="12"/>
      <c r="AB648" s="12"/>
      <c r="AC648" s="12"/>
      <c r="AD648" s="12"/>
      <c r="AE648" s="12"/>
      <c r="AF648" s="12"/>
      <c r="AG648" s="12"/>
      <c r="AH648" s="12"/>
      <c r="AI648" s="12"/>
    </row>
    <row r="649" spans="1:35" s="10" customFormat="1" x14ac:dyDescent="0.35">
      <c r="A649" s="12"/>
      <c r="B649" s="12"/>
      <c r="C649" s="12"/>
      <c r="D649" s="12"/>
      <c r="E649" s="12"/>
      <c r="I649" s="14"/>
      <c r="M649" s="12"/>
      <c r="T649" s="12"/>
      <c r="U649" s="12"/>
      <c r="V649" s="12"/>
      <c r="W649" s="12"/>
      <c r="X649" s="12"/>
      <c r="Y649" s="12"/>
      <c r="Z649" s="12"/>
      <c r="AA649" s="12"/>
      <c r="AB649" s="12"/>
      <c r="AC649" s="12"/>
      <c r="AD649" s="12"/>
      <c r="AE649" s="12"/>
      <c r="AF649" s="12"/>
      <c r="AG649" s="12"/>
      <c r="AH649" s="12"/>
      <c r="AI649" s="12"/>
    </row>
    <row r="650" spans="1:35" s="10" customFormat="1" x14ac:dyDescent="0.35">
      <c r="A650" s="12"/>
      <c r="B650" s="12"/>
      <c r="C650" s="12"/>
      <c r="D650" s="12"/>
      <c r="E650" s="12"/>
      <c r="I650" s="14"/>
      <c r="M650" s="12"/>
      <c r="T650" s="12"/>
      <c r="U650" s="12"/>
      <c r="V650" s="12"/>
      <c r="W650" s="12"/>
      <c r="X650" s="12"/>
      <c r="Y650" s="12"/>
      <c r="Z650" s="12"/>
      <c r="AA650" s="12"/>
      <c r="AB650" s="12"/>
      <c r="AC650" s="12"/>
      <c r="AD650" s="12"/>
      <c r="AE650" s="12"/>
      <c r="AF650" s="12"/>
      <c r="AG650" s="12"/>
      <c r="AH650" s="12"/>
      <c r="AI650" s="12"/>
    </row>
    <row r="651" spans="1:35" s="10" customFormat="1" x14ac:dyDescent="0.35">
      <c r="A651" s="12"/>
      <c r="B651" s="12"/>
      <c r="C651" s="12"/>
      <c r="D651" s="12"/>
      <c r="E651" s="12"/>
      <c r="I651" s="14"/>
      <c r="M651" s="12"/>
      <c r="T651" s="12"/>
      <c r="U651" s="12"/>
      <c r="V651" s="12"/>
      <c r="W651" s="12"/>
      <c r="X651" s="12"/>
      <c r="Y651" s="12"/>
      <c r="Z651" s="12"/>
      <c r="AA651" s="12"/>
      <c r="AB651" s="12"/>
      <c r="AC651" s="12"/>
      <c r="AD651" s="12"/>
      <c r="AE651" s="12"/>
      <c r="AF651" s="12"/>
      <c r="AG651" s="12"/>
      <c r="AH651" s="12"/>
      <c r="AI651" s="12"/>
    </row>
    <row r="652" spans="1:35" s="10" customFormat="1" x14ac:dyDescent="0.35">
      <c r="A652" s="12"/>
      <c r="B652" s="12"/>
      <c r="C652" s="12"/>
      <c r="D652" s="12"/>
      <c r="E652" s="12"/>
      <c r="I652" s="14"/>
      <c r="M652" s="12"/>
      <c r="T652" s="12"/>
      <c r="U652" s="12"/>
      <c r="V652" s="12"/>
      <c r="W652" s="12"/>
      <c r="X652" s="12"/>
      <c r="Y652" s="12"/>
      <c r="Z652" s="12"/>
      <c r="AA652" s="12"/>
      <c r="AB652" s="12"/>
      <c r="AC652" s="12"/>
      <c r="AD652" s="12"/>
      <c r="AE652" s="12"/>
      <c r="AF652" s="12"/>
      <c r="AG652" s="12"/>
      <c r="AH652" s="12"/>
      <c r="AI652" s="12"/>
    </row>
    <row r="653" spans="1:35" s="10" customFormat="1" x14ac:dyDescent="0.35">
      <c r="A653" s="12"/>
      <c r="B653" s="12"/>
      <c r="C653" s="12"/>
      <c r="D653" s="12"/>
      <c r="E653" s="12"/>
      <c r="I653" s="14"/>
      <c r="M653" s="12"/>
      <c r="T653" s="12"/>
      <c r="U653" s="12"/>
      <c r="V653" s="12"/>
      <c r="W653" s="12"/>
      <c r="X653" s="12"/>
      <c r="Y653" s="12"/>
      <c r="Z653" s="12"/>
      <c r="AA653" s="12"/>
      <c r="AB653" s="12"/>
      <c r="AC653" s="12"/>
      <c r="AD653" s="12"/>
      <c r="AE653" s="12"/>
      <c r="AF653" s="12"/>
      <c r="AG653" s="12"/>
      <c r="AH653" s="12"/>
      <c r="AI653" s="12"/>
    </row>
    <row r="654" spans="1:35" s="10" customFormat="1" x14ac:dyDescent="0.35">
      <c r="A654" s="12"/>
      <c r="B654" s="12"/>
      <c r="C654" s="12"/>
      <c r="D654" s="12"/>
      <c r="E654" s="12"/>
      <c r="I654" s="14"/>
      <c r="M654" s="12"/>
      <c r="T654" s="12"/>
      <c r="U654" s="12"/>
      <c r="V654" s="12"/>
      <c r="W654" s="12"/>
      <c r="X654" s="12"/>
      <c r="Y654" s="12"/>
      <c r="Z654" s="12"/>
      <c r="AA654" s="12"/>
      <c r="AB654" s="12"/>
      <c r="AC654" s="12"/>
      <c r="AD654" s="12"/>
      <c r="AE654" s="12"/>
      <c r="AF654" s="12"/>
      <c r="AG654" s="12"/>
      <c r="AH654" s="12"/>
      <c r="AI654" s="12"/>
    </row>
    <row r="655" spans="1:35" s="10" customFormat="1" x14ac:dyDescent="0.35">
      <c r="A655" s="12"/>
      <c r="B655" s="12"/>
      <c r="C655" s="12"/>
      <c r="D655" s="12"/>
      <c r="E655" s="12"/>
      <c r="I655" s="14"/>
      <c r="M655" s="12"/>
      <c r="T655" s="12"/>
      <c r="U655" s="12"/>
      <c r="V655" s="12"/>
      <c r="W655" s="12"/>
      <c r="X655" s="12"/>
      <c r="Y655" s="12"/>
      <c r="Z655" s="12"/>
      <c r="AA655" s="12"/>
      <c r="AB655" s="12"/>
      <c r="AC655" s="12"/>
      <c r="AD655" s="12"/>
      <c r="AE655" s="12"/>
      <c r="AF655" s="12"/>
      <c r="AG655" s="12"/>
      <c r="AH655" s="12"/>
      <c r="AI655" s="12"/>
    </row>
    <row r="656" spans="1:35" s="10" customFormat="1" x14ac:dyDescent="0.35">
      <c r="A656" s="12"/>
      <c r="B656" s="12"/>
      <c r="C656" s="12"/>
      <c r="D656" s="12"/>
      <c r="E656" s="12"/>
      <c r="I656" s="14"/>
      <c r="M656" s="12"/>
      <c r="T656" s="12"/>
      <c r="U656" s="12"/>
      <c r="V656" s="12"/>
      <c r="W656" s="12"/>
      <c r="X656" s="12"/>
      <c r="Y656" s="12"/>
      <c r="Z656" s="12"/>
      <c r="AA656" s="12"/>
      <c r="AB656" s="12"/>
      <c r="AC656" s="12"/>
      <c r="AD656" s="12"/>
      <c r="AE656" s="12"/>
      <c r="AF656" s="12"/>
      <c r="AG656" s="12"/>
      <c r="AH656" s="12"/>
      <c r="AI656" s="12"/>
    </row>
    <row r="657" spans="1:35" s="10" customFormat="1" x14ac:dyDescent="0.35">
      <c r="A657" s="12"/>
      <c r="B657" s="12"/>
      <c r="C657" s="12"/>
      <c r="D657" s="12"/>
      <c r="E657" s="12"/>
      <c r="I657" s="14"/>
      <c r="M657" s="12"/>
      <c r="T657" s="12"/>
      <c r="U657" s="12"/>
      <c r="V657" s="12"/>
      <c r="W657" s="12"/>
      <c r="X657" s="12"/>
      <c r="Y657" s="12"/>
      <c r="Z657" s="12"/>
      <c r="AA657" s="12"/>
      <c r="AB657" s="12"/>
      <c r="AC657" s="12"/>
      <c r="AD657" s="12"/>
      <c r="AE657" s="12"/>
      <c r="AF657" s="12"/>
      <c r="AG657" s="12"/>
      <c r="AH657" s="12"/>
      <c r="AI657" s="12"/>
    </row>
    <row r="658" spans="1:35" s="10" customFormat="1" x14ac:dyDescent="0.35">
      <c r="A658" s="12"/>
      <c r="B658" s="12"/>
      <c r="C658" s="12"/>
      <c r="D658" s="12"/>
      <c r="E658" s="12"/>
      <c r="I658" s="14"/>
      <c r="M658" s="12"/>
      <c r="T658" s="12"/>
      <c r="U658" s="12"/>
      <c r="V658" s="12"/>
      <c r="W658" s="12"/>
      <c r="X658" s="12"/>
      <c r="Y658" s="12"/>
      <c r="Z658" s="12"/>
      <c r="AA658" s="12"/>
      <c r="AB658" s="12"/>
      <c r="AC658" s="12"/>
      <c r="AD658" s="12"/>
      <c r="AE658" s="12"/>
      <c r="AF658" s="12"/>
      <c r="AG658" s="12"/>
      <c r="AH658" s="12"/>
      <c r="AI658" s="12"/>
    </row>
    <row r="659" spans="1:35" s="10" customFormat="1" x14ac:dyDescent="0.35">
      <c r="A659" s="12"/>
      <c r="B659" s="12"/>
      <c r="C659" s="12"/>
      <c r="D659" s="12"/>
      <c r="E659" s="12"/>
      <c r="I659" s="14"/>
      <c r="M659" s="12"/>
      <c r="T659" s="12"/>
      <c r="U659" s="12"/>
      <c r="V659" s="12"/>
      <c r="W659" s="12"/>
      <c r="X659" s="12"/>
      <c r="Y659" s="12"/>
      <c r="Z659" s="12"/>
      <c r="AA659" s="12"/>
      <c r="AB659" s="12"/>
      <c r="AC659" s="12"/>
      <c r="AD659" s="12"/>
      <c r="AE659" s="12"/>
      <c r="AF659" s="12"/>
      <c r="AG659" s="12"/>
      <c r="AH659" s="12"/>
      <c r="AI659" s="12"/>
    </row>
    <row r="660" spans="1:35" s="10" customFormat="1" x14ac:dyDescent="0.35">
      <c r="A660" s="12"/>
      <c r="B660" s="12"/>
      <c r="C660" s="12"/>
      <c r="D660" s="12"/>
      <c r="E660" s="12"/>
      <c r="I660" s="14"/>
      <c r="M660" s="12"/>
      <c r="T660" s="12"/>
      <c r="U660" s="12"/>
      <c r="V660" s="12"/>
      <c r="W660" s="12"/>
      <c r="X660" s="12"/>
      <c r="Y660" s="12"/>
      <c r="Z660" s="12"/>
      <c r="AA660" s="12"/>
      <c r="AB660" s="12"/>
      <c r="AC660" s="12"/>
      <c r="AD660" s="12"/>
      <c r="AE660" s="12"/>
      <c r="AF660" s="12"/>
      <c r="AG660" s="12"/>
      <c r="AH660" s="12"/>
      <c r="AI660" s="12"/>
    </row>
    <row r="661" spans="1:35" s="10" customFormat="1" x14ac:dyDescent="0.35">
      <c r="A661" s="12"/>
      <c r="B661" s="12"/>
      <c r="C661" s="12"/>
      <c r="D661" s="12"/>
      <c r="E661" s="12"/>
      <c r="I661" s="14"/>
      <c r="M661" s="12"/>
      <c r="T661" s="12"/>
      <c r="U661" s="12"/>
      <c r="V661" s="12"/>
      <c r="W661" s="12"/>
      <c r="X661" s="12"/>
      <c r="Y661" s="12"/>
      <c r="Z661" s="12"/>
      <c r="AA661" s="12"/>
      <c r="AB661" s="12"/>
      <c r="AC661" s="12"/>
      <c r="AD661" s="12"/>
      <c r="AE661" s="12"/>
      <c r="AF661" s="12"/>
      <c r="AG661" s="12"/>
      <c r="AH661" s="12"/>
      <c r="AI661" s="12"/>
    </row>
    <row r="662" spans="1:35" s="10" customFormat="1" x14ac:dyDescent="0.35">
      <c r="A662" s="12"/>
      <c r="B662" s="12"/>
      <c r="C662" s="12"/>
      <c r="D662" s="12"/>
      <c r="E662" s="12"/>
      <c r="I662" s="14"/>
      <c r="M662" s="12"/>
      <c r="T662" s="12"/>
      <c r="U662" s="12"/>
      <c r="V662" s="12"/>
      <c r="W662" s="12"/>
      <c r="X662" s="12"/>
      <c r="Y662" s="12"/>
      <c r="Z662" s="12"/>
      <c r="AA662" s="12"/>
      <c r="AB662" s="12"/>
      <c r="AC662" s="12"/>
      <c r="AD662" s="12"/>
      <c r="AE662" s="12"/>
      <c r="AF662" s="12"/>
      <c r="AG662" s="12"/>
      <c r="AH662" s="12"/>
      <c r="AI662" s="12"/>
    </row>
    <row r="663" spans="1:35" s="10" customFormat="1" x14ac:dyDescent="0.35">
      <c r="A663" s="12"/>
      <c r="B663" s="12"/>
      <c r="C663" s="12"/>
      <c r="D663" s="12"/>
      <c r="E663" s="12"/>
      <c r="I663" s="14"/>
      <c r="M663" s="12"/>
      <c r="T663" s="12"/>
      <c r="U663" s="12"/>
      <c r="V663" s="12"/>
      <c r="W663" s="12"/>
      <c r="X663" s="12"/>
      <c r="Y663" s="12"/>
      <c r="Z663" s="12"/>
      <c r="AA663" s="12"/>
      <c r="AB663" s="12"/>
      <c r="AC663" s="12"/>
      <c r="AD663" s="12"/>
      <c r="AE663" s="12"/>
      <c r="AF663" s="12"/>
      <c r="AG663" s="12"/>
      <c r="AH663" s="12"/>
      <c r="AI663" s="12"/>
    </row>
    <row r="664" spans="1:35" s="10" customFormat="1" x14ac:dyDescent="0.35">
      <c r="A664" s="12"/>
      <c r="B664" s="12"/>
      <c r="C664" s="12"/>
      <c r="D664" s="12"/>
      <c r="E664" s="12"/>
      <c r="I664" s="14"/>
      <c r="M664" s="12"/>
      <c r="T664" s="12"/>
      <c r="U664" s="12"/>
      <c r="V664" s="12"/>
      <c r="W664" s="12"/>
      <c r="X664" s="12"/>
      <c r="Y664" s="12"/>
      <c r="Z664" s="12"/>
      <c r="AA664" s="12"/>
      <c r="AB664" s="12"/>
      <c r="AC664" s="12"/>
      <c r="AD664" s="12"/>
      <c r="AE664" s="12"/>
      <c r="AF664" s="12"/>
      <c r="AG664" s="12"/>
      <c r="AH664" s="12"/>
      <c r="AI664" s="12"/>
    </row>
    <row r="665" spans="1:35" s="10" customFormat="1" x14ac:dyDescent="0.35">
      <c r="A665" s="12"/>
      <c r="B665" s="12"/>
      <c r="C665" s="12"/>
      <c r="D665" s="12"/>
      <c r="E665" s="12"/>
      <c r="I665" s="14"/>
      <c r="M665" s="12"/>
      <c r="T665" s="12"/>
      <c r="U665" s="12"/>
      <c r="V665" s="12"/>
      <c r="W665" s="12"/>
      <c r="X665" s="12"/>
      <c r="Y665" s="12"/>
      <c r="Z665" s="12"/>
      <c r="AA665" s="12"/>
      <c r="AB665" s="12"/>
      <c r="AC665" s="12"/>
      <c r="AD665" s="12"/>
      <c r="AE665" s="12"/>
      <c r="AF665" s="12"/>
      <c r="AG665" s="12"/>
      <c r="AH665" s="12"/>
      <c r="AI665" s="12"/>
    </row>
    <row r="666" spans="1:35" s="10" customFormat="1" x14ac:dyDescent="0.35">
      <c r="A666" s="12"/>
      <c r="B666" s="12"/>
      <c r="C666" s="12"/>
      <c r="D666" s="12"/>
      <c r="E666" s="12"/>
      <c r="I666" s="14"/>
      <c r="M666" s="12"/>
      <c r="T666" s="12"/>
      <c r="U666" s="12"/>
      <c r="V666" s="12"/>
      <c r="W666" s="12"/>
      <c r="X666" s="12"/>
      <c r="Y666" s="12"/>
      <c r="Z666" s="12"/>
      <c r="AA666" s="12"/>
      <c r="AB666" s="12"/>
      <c r="AC666" s="12"/>
      <c r="AD666" s="12"/>
      <c r="AE666" s="12"/>
      <c r="AF666" s="12"/>
      <c r="AG666" s="12"/>
      <c r="AH666" s="12"/>
      <c r="AI666" s="12"/>
    </row>
    <row r="667" spans="1:35" s="10" customFormat="1" x14ac:dyDescent="0.35">
      <c r="A667" s="12"/>
      <c r="B667" s="12"/>
      <c r="C667" s="12"/>
      <c r="D667" s="12"/>
      <c r="E667" s="12"/>
      <c r="I667" s="14"/>
      <c r="M667" s="12"/>
      <c r="T667" s="12"/>
      <c r="U667" s="12"/>
      <c r="V667" s="12"/>
      <c r="W667" s="12"/>
      <c r="X667" s="12"/>
      <c r="Y667" s="12"/>
      <c r="Z667" s="12"/>
      <c r="AA667" s="12"/>
      <c r="AB667" s="12"/>
      <c r="AC667" s="12"/>
      <c r="AD667" s="12"/>
      <c r="AE667" s="12"/>
      <c r="AF667" s="12"/>
      <c r="AG667" s="12"/>
      <c r="AH667" s="12"/>
      <c r="AI667" s="12"/>
    </row>
    <row r="668" spans="1:35" s="10" customFormat="1" x14ac:dyDescent="0.35">
      <c r="A668" s="12"/>
      <c r="B668" s="12"/>
      <c r="C668" s="12"/>
      <c r="D668" s="12"/>
      <c r="E668" s="12"/>
      <c r="I668" s="14"/>
      <c r="M668" s="12"/>
      <c r="T668" s="12"/>
      <c r="U668" s="12"/>
      <c r="V668" s="12"/>
      <c r="W668" s="12"/>
      <c r="X668" s="12"/>
      <c r="Y668" s="12"/>
      <c r="Z668" s="12"/>
      <c r="AA668" s="12"/>
      <c r="AB668" s="12"/>
      <c r="AC668" s="12"/>
      <c r="AD668" s="12"/>
      <c r="AE668" s="12"/>
      <c r="AF668" s="12"/>
      <c r="AG668" s="12"/>
      <c r="AH668" s="12"/>
      <c r="AI668" s="12"/>
    </row>
    <row r="669" spans="1:35" s="10" customFormat="1" x14ac:dyDescent="0.35">
      <c r="A669" s="12"/>
      <c r="B669" s="12"/>
      <c r="C669" s="12"/>
      <c r="D669" s="12"/>
      <c r="E669" s="12"/>
      <c r="I669" s="14"/>
      <c r="M669" s="12"/>
      <c r="T669" s="12"/>
      <c r="U669" s="12"/>
      <c r="V669" s="12"/>
      <c r="W669" s="12"/>
      <c r="X669" s="12"/>
      <c r="Y669" s="12"/>
      <c r="Z669" s="12"/>
      <c r="AA669" s="12"/>
      <c r="AB669" s="12"/>
      <c r="AC669" s="12"/>
      <c r="AD669" s="12"/>
      <c r="AE669" s="12"/>
      <c r="AF669" s="12"/>
      <c r="AG669" s="12"/>
      <c r="AH669" s="12"/>
      <c r="AI669" s="12"/>
    </row>
    <row r="670" spans="1:35" s="10" customFormat="1" x14ac:dyDescent="0.35">
      <c r="A670" s="12"/>
      <c r="B670" s="12"/>
      <c r="C670" s="12"/>
      <c r="D670" s="12"/>
      <c r="E670" s="12"/>
      <c r="I670" s="14"/>
      <c r="M670" s="12"/>
      <c r="T670" s="12"/>
      <c r="U670" s="12"/>
      <c r="V670" s="12"/>
      <c r="W670" s="12"/>
      <c r="X670" s="12"/>
      <c r="Y670" s="12"/>
      <c r="Z670" s="12"/>
      <c r="AA670" s="12"/>
      <c r="AB670" s="12"/>
      <c r="AC670" s="12"/>
      <c r="AD670" s="12"/>
      <c r="AE670" s="12"/>
      <c r="AF670" s="12"/>
      <c r="AG670" s="12"/>
      <c r="AH670" s="12"/>
      <c r="AI670" s="12"/>
    </row>
    <row r="671" spans="1:35" s="10" customFormat="1" x14ac:dyDescent="0.35">
      <c r="A671" s="12"/>
      <c r="B671" s="12"/>
      <c r="C671" s="12"/>
      <c r="D671" s="12"/>
      <c r="E671" s="12"/>
      <c r="I671" s="14"/>
      <c r="M671" s="12"/>
      <c r="T671" s="12"/>
      <c r="U671" s="12"/>
      <c r="V671" s="12"/>
      <c r="W671" s="12"/>
      <c r="X671" s="12"/>
      <c r="Y671" s="12"/>
      <c r="Z671" s="12"/>
      <c r="AA671" s="12"/>
      <c r="AB671" s="12"/>
      <c r="AC671" s="12"/>
      <c r="AD671" s="12"/>
      <c r="AE671" s="12"/>
      <c r="AF671" s="12"/>
      <c r="AG671" s="12"/>
      <c r="AH671" s="12"/>
      <c r="AI671" s="12"/>
    </row>
    <row r="672" spans="1:35" s="10" customFormat="1" x14ac:dyDescent="0.35">
      <c r="A672" s="12"/>
      <c r="B672" s="12"/>
      <c r="C672" s="12"/>
      <c r="D672" s="12"/>
      <c r="E672" s="12"/>
      <c r="I672" s="14"/>
      <c r="M672" s="12"/>
      <c r="T672" s="12"/>
      <c r="U672" s="12"/>
      <c r="V672" s="12"/>
      <c r="W672" s="12"/>
      <c r="X672" s="12"/>
      <c r="Y672" s="12"/>
      <c r="Z672" s="12"/>
      <c r="AA672" s="12"/>
      <c r="AB672" s="12"/>
      <c r="AC672" s="12"/>
      <c r="AD672" s="12"/>
      <c r="AE672" s="12"/>
      <c r="AF672" s="12"/>
      <c r="AG672" s="12"/>
      <c r="AH672" s="12"/>
      <c r="AI672" s="12"/>
    </row>
    <row r="673" spans="1:35" s="10" customFormat="1" x14ac:dyDescent="0.35">
      <c r="A673" s="12"/>
      <c r="B673" s="12"/>
      <c r="C673" s="12"/>
      <c r="D673" s="12"/>
      <c r="E673" s="12"/>
      <c r="I673" s="14"/>
      <c r="M673" s="12"/>
      <c r="T673" s="12"/>
      <c r="U673" s="12"/>
      <c r="V673" s="12"/>
      <c r="W673" s="12"/>
      <c r="X673" s="12"/>
      <c r="Y673" s="12"/>
      <c r="Z673" s="12"/>
      <c r="AA673" s="12"/>
      <c r="AB673" s="12"/>
      <c r="AC673" s="12"/>
      <c r="AD673" s="12"/>
      <c r="AE673" s="12"/>
      <c r="AF673" s="12"/>
      <c r="AG673" s="12"/>
      <c r="AH673" s="12"/>
      <c r="AI673" s="12"/>
    </row>
    <row r="674" spans="1:35" s="10" customFormat="1" x14ac:dyDescent="0.35">
      <c r="A674" s="12"/>
      <c r="B674" s="12"/>
      <c r="C674" s="12"/>
      <c r="D674" s="12"/>
      <c r="E674" s="12"/>
      <c r="I674" s="14"/>
      <c r="M674" s="12"/>
      <c r="T674" s="12"/>
      <c r="U674" s="12"/>
      <c r="V674" s="12"/>
      <c r="W674" s="12"/>
      <c r="X674" s="12"/>
      <c r="Y674" s="12"/>
      <c r="Z674" s="12"/>
      <c r="AA674" s="12"/>
      <c r="AB674" s="12"/>
      <c r="AC674" s="12"/>
      <c r="AD674" s="12"/>
      <c r="AE674" s="12"/>
      <c r="AF674" s="12"/>
      <c r="AG674" s="12"/>
      <c r="AH674" s="12"/>
      <c r="AI674" s="12"/>
    </row>
    <row r="675" spans="1:35" s="10" customFormat="1" x14ac:dyDescent="0.35">
      <c r="A675" s="12"/>
      <c r="B675" s="12"/>
      <c r="C675" s="12"/>
      <c r="D675" s="12"/>
      <c r="E675" s="12"/>
      <c r="I675" s="14"/>
      <c r="M675" s="12"/>
      <c r="T675" s="12"/>
      <c r="U675" s="12"/>
      <c r="V675" s="12"/>
      <c r="W675" s="12"/>
      <c r="X675" s="12"/>
      <c r="Y675" s="12"/>
      <c r="Z675" s="12"/>
      <c r="AA675" s="12"/>
      <c r="AB675" s="12"/>
      <c r="AC675" s="12"/>
      <c r="AD675" s="12"/>
      <c r="AE675" s="12"/>
      <c r="AF675" s="12"/>
      <c r="AG675" s="12"/>
      <c r="AH675" s="12"/>
      <c r="AI675" s="12"/>
    </row>
    <row r="676" spans="1:35" s="10" customFormat="1" x14ac:dyDescent="0.35">
      <c r="A676" s="12"/>
      <c r="B676" s="12"/>
      <c r="C676" s="12"/>
      <c r="D676" s="12"/>
      <c r="E676" s="12"/>
      <c r="I676" s="14"/>
      <c r="M676" s="12"/>
      <c r="T676" s="12"/>
      <c r="U676" s="12"/>
      <c r="V676" s="12"/>
      <c r="W676" s="12"/>
      <c r="X676" s="12"/>
      <c r="Y676" s="12"/>
      <c r="Z676" s="12"/>
      <c r="AA676" s="12"/>
      <c r="AB676" s="12"/>
      <c r="AC676" s="12"/>
      <c r="AD676" s="12"/>
      <c r="AE676" s="12"/>
      <c r="AF676" s="12"/>
      <c r="AG676" s="12"/>
      <c r="AH676" s="12"/>
      <c r="AI676" s="12"/>
    </row>
    <row r="677" spans="1:35" s="10" customFormat="1" x14ac:dyDescent="0.35">
      <c r="A677" s="12"/>
      <c r="B677" s="12"/>
      <c r="C677" s="12"/>
      <c r="D677" s="12"/>
      <c r="E677" s="12"/>
      <c r="I677" s="14"/>
      <c r="M677" s="12"/>
      <c r="T677" s="12"/>
      <c r="U677" s="12"/>
      <c r="V677" s="12"/>
      <c r="W677" s="12"/>
      <c r="X677" s="12"/>
      <c r="Y677" s="12"/>
      <c r="Z677" s="12"/>
      <c r="AA677" s="12"/>
      <c r="AB677" s="12"/>
      <c r="AC677" s="12"/>
      <c r="AD677" s="12"/>
      <c r="AE677" s="12"/>
      <c r="AF677" s="12"/>
      <c r="AG677" s="12"/>
      <c r="AH677" s="12"/>
      <c r="AI677" s="12"/>
    </row>
    <row r="678" spans="1:35" s="10" customFormat="1" x14ac:dyDescent="0.35">
      <c r="A678" s="12"/>
      <c r="B678" s="12"/>
      <c r="C678" s="12"/>
      <c r="D678" s="12"/>
      <c r="E678" s="12"/>
      <c r="I678" s="14"/>
      <c r="M678" s="12"/>
      <c r="T678" s="12"/>
      <c r="U678" s="12"/>
      <c r="V678" s="12"/>
      <c r="W678" s="12"/>
      <c r="X678" s="12"/>
      <c r="Y678" s="12"/>
      <c r="Z678" s="12"/>
      <c r="AA678" s="12"/>
      <c r="AB678" s="12"/>
      <c r="AC678" s="12"/>
      <c r="AD678" s="12"/>
      <c r="AE678" s="12"/>
      <c r="AF678" s="12"/>
      <c r="AG678" s="12"/>
      <c r="AH678" s="12"/>
      <c r="AI678" s="12"/>
    </row>
    <row r="679" spans="1:35" s="10" customFormat="1" x14ac:dyDescent="0.35">
      <c r="A679" s="12"/>
      <c r="B679" s="12"/>
      <c r="C679" s="12"/>
      <c r="D679" s="12"/>
      <c r="E679" s="12"/>
      <c r="I679" s="14"/>
      <c r="M679" s="12"/>
      <c r="T679" s="12"/>
      <c r="U679" s="12"/>
      <c r="V679" s="12"/>
      <c r="W679" s="12"/>
      <c r="X679" s="12"/>
      <c r="Y679" s="12"/>
      <c r="Z679" s="12"/>
      <c r="AA679" s="12"/>
      <c r="AB679" s="12"/>
      <c r="AC679" s="12"/>
      <c r="AD679" s="12"/>
      <c r="AE679" s="12"/>
      <c r="AF679" s="12"/>
      <c r="AG679" s="12"/>
      <c r="AH679" s="12"/>
      <c r="AI679" s="12"/>
    </row>
    <row r="680" spans="1:35" s="10" customFormat="1" x14ac:dyDescent="0.35">
      <c r="A680" s="12"/>
      <c r="B680" s="12"/>
      <c r="C680" s="12"/>
      <c r="D680" s="12"/>
      <c r="E680" s="12"/>
      <c r="I680" s="14"/>
      <c r="M680" s="12"/>
      <c r="T680" s="12"/>
      <c r="U680" s="12"/>
      <c r="V680" s="12"/>
      <c r="W680" s="12"/>
      <c r="X680" s="12"/>
      <c r="Y680" s="12"/>
      <c r="Z680" s="12"/>
      <c r="AA680" s="12"/>
      <c r="AB680" s="12"/>
      <c r="AC680" s="12"/>
      <c r="AD680" s="12"/>
      <c r="AE680" s="12"/>
      <c r="AF680" s="12"/>
      <c r="AG680" s="12"/>
      <c r="AH680" s="12"/>
      <c r="AI680" s="12"/>
    </row>
    <row r="681" spans="1:35" s="10" customFormat="1" x14ac:dyDescent="0.35">
      <c r="A681" s="12"/>
      <c r="B681" s="12"/>
      <c r="C681" s="12"/>
      <c r="D681" s="12"/>
      <c r="E681" s="12"/>
      <c r="I681" s="14"/>
      <c r="M681" s="12"/>
      <c r="T681" s="12"/>
      <c r="U681" s="12"/>
      <c r="V681" s="12"/>
      <c r="W681" s="12"/>
      <c r="X681" s="12"/>
      <c r="Y681" s="12"/>
      <c r="Z681" s="12"/>
      <c r="AA681" s="12"/>
      <c r="AB681" s="12"/>
      <c r="AC681" s="12"/>
      <c r="AD681" s="12"/>
      <c r="AE681" s="12"/>
      <c r="AF681" s="12"/>
      <c r="AG681" s="12"/>
      <c r="AH681" s="12"/>
      <c r="AI681" s="12"/>
    </row>
    <row r="682" spans="1:35" s="10" customFormat="1" x14ac:dyDescent="0.35">
      <c r="A682" s="12"/>
      <c r="B682" s="12"/>
      <c r="C682" s="12"/>
      <c r="D682" s="12"/>
      <c r="E682" s="12"/>
      <c r="I682" s="14"/>
      <c r="M682" s="12"/>
      <c r="T682" s="12"/>
      <c r="U682" s="12"/>
      <c r="V682" s="12"/>
      <c r="W682" s="12"/>
      <c r="X682" s="12"/>
      <c r="Y682" s="12"/>
      <c r="Z682" s="12"/>
      <c r="AA682" s="12"/>
      <c r="AB682" s="12"/>
      <c r="AC682" s="12"/>
      <c r="AD682" s="12"/>
      <c r="AE682" s="12"/>
      <c r="AF682" s="12"/>
      <c r="AG682" s="12"/>
      <c r="AH682" s="12"/>
      <c r="AI682" s="12"/>
    </row>
    <row r="683" spans="1:35" s="10" customFormat="1" x14ac:dyDescent="0.35">
      <c r="A683" s="12"/>
      <c r="B683" s="12"/>
      <c r="C683" s="12"/>
      <c r="D683" s="12"/>
      <c r="E683" s="12"/>
      <c r="I683" s="14"/>
      <c r="M683" s="12"/>
      <c r="T683" s="12"/>
      <c r="U683" s="12"/>
      <c r="V683" s="12"/>
      <c r="W683" s="12"/>
      <c r="X683" s="12"/>
      <c r="Y683" s="12"/>
      <c r="Z683" s="12"/>
      <c r="AA683" s="12"/>
      <c r="AB683" s="12"/>
      <c r="AC683" s="12"/>
      <c r="AD683" s="12"/>
      <c r="AE683" s="12"/>
      <c r="AF683" s="12"/>
      <c r="AG683" s="12"/>
      <c r="AH683" s="12"/>
      <c r="AI683" s="12"/>
    </row>
    <row r="684" spans="1:35" s="10" customFormat="1" x14ac:dyDescent="0.35">
      <c r="A684" s="12"/>
      <c r="B684" s="12"/>
      <c r="C684" s="12"/>
      <c r="D684" s="12"/>
      <c r="E684" s="12"/>
      <c r="I684" s="14"/>
      <c r="M684" s="12"/>
      <c r="T684" s="12"/>
      <c r="U684" s="12"/>
      <c r="V684" s="12"/>
      <c r="W684" s="12"/>
      <c r="X684" s="12"/>
      <c r="Y684" s="12"/>
      <c r="Z684" s="12"/>
      <c r="AA684" s="12"/>
      <c r="AB684" s="12"/>
      <c r="AC684" s="12"/>
      <c r="AD684" s="12"/>
      <c r="AE684" s="12"/>
      <c r="AF684" s="12"/>
      <c r="AG684" s="12"/>
      <c r="AH684" s="12"/>
      <c r="AI684" s="12"/>
    </row>
    <row r="685" spans="1:35" s="10" customFormat="1" x14ac:dyDescent="0.35">
      <c r="A685" s="12"/>
      <c r="B685" s="12"/>
      <c r="C685" s="12"/>
      <c r="D685" s="12"/>
      <c r="E685" s="12"/>
      <c r="I685" s="14"/>
      <c r="M685" s="12"/>
      <c r="T685" s="12"/>
      <c r="U685" s="12"/>
      <c r="V685" s="12"/>
      <c r="W685" s="12"/>
      <c r="X685" s="12"/>
      <c r="Y685" s="12"/>
      <c r="Z685" s="12"/>
      <c r="AA685" s="12"/>
      <c r="AB685" s="12"/>
      <c r="AC685" s="12"/>
      <c r="AD685" s="12"/>
      <c r="AE685" s="12"/>
      <c r="AF685" s="12"/>
      <c r="AG685" s="12"/>
      <c r="AH685" s="12"/>
      <c r="AI685" s="12"/>
    </row>
    <row r="686" spans="1:35" s="10" customFormat="1" x14ac:dyDescent="0.35">
      <c r="A686" s="12"/>
      <c r="B686" s="12"/>
      <c r="C686" s="12"/>
      <c r="D686" s="12"/>
      <c r="E686" s="12"/>
      <c r="I686" s="14"/>
      <c r="M686" s="12"/>
      <c r="T686" s="12"/>
      <c r="U686" s="12"/>
      <c r="V686" s="12"/>
      <c r="W686" s="12"/>
      <c r="X686" s="12"/>
      <c r="Y686" s="12"/>
      <c r="Z686" s="12"/>
      <c r="AA686" s="12"/>
      <c r="AB686" s="12"/>
      <c r="AC686" s="12"/>
      <c r="AD686" s="12"/>
      <c r="AE686" s="12"/>
      <c r="AF686" s="12"/>
      <c r="AG686" s="12"/>
      <c r="AH686" s="12"/>
      <c r="AI686" s="12"/>
    </row>
    <row r="687" spans="1:35" s="10" customFormat="1" x14ac:dyDescent="0.35">
      <c r="A687" s="12"/>
      <c r="B687" s="12"/>
      <c r="C687" s="12"/>
      <c r="D687" s="12"/>
      <c r="E687" s="12"/>
      <c r="I687" s="14"/>
      <c r="M687" s="12"/>
      <c r="T687" s="12"/>
      <c r="U687" s="12"/>
      <c r="V687" s="12"/>
      <c r="W687" s="12"/>
      <c r="X687" s="12"/>
      <c r="Y687" s="12"/>
      <c r="Z687" s="12"/>
      <c r="AA687" s="12"/>
      <c r="AB687" s="12"/>
      <c r="AC687" s="12"/>
      <c r="AD687" s="12"/>
      <c r="AE687" s="12"/>
      <c r="AF687" s="12"/>
      <c r="AG687" s="12"/>
      <c r="AH687" s="12"/>
      <c r="AI687" s="12"/>
    </row>
    <row r="688" spans="1:35" s="10" customFormat="1" x14ac:dyDescent="0.35">
      <c r="A688" s="12"/>
      <c r="B688" s="12"/>
      <c r="C688" s="12"/>
      <c r="D688" s="12"/>
      <c r="E688" s="12"/>
      <c r="I688" s="14"/>
      <c r="M688" s="12"/>
      <c r="T688" s="12"/>
      <c r="U688" s="12"/>
      <c r="V688" s="12"/>
      <c r="W688" s="12"/>
      <c r="X688" s="12"/>
      <c r="Y688" s="12"/>
      <c r="Z688" s="12"/>
      <c r="AA688" s="12"/>
      <c r="AB688" s="12"/>
      <c r="AC688" s="12"/>
      <c r="AD688" s="12"/>
      <c r="AE688" s="12"/>
      <c r="AF688" s="12"/>
      <c r="AG688" s="12"/>
      <c r="AH688" s="12"/>
      <c r="AI688" s="12"/>
    </row>
    <row r="689" spans="1:35" s="10" customFormat="1" x14ac:dyDescent="0.35">
      <c r="A689" s="12"/>
      <c r="B689" s="12"/>
      <c r="C689" s="12"/>
      <c r="D689" s="12"/>
      <c r="E689" s="12"/>
      <c r="I689" s="14"/>
      <c r="M689" s="12"/>
      <c r="T689" s="12"/>
      <c r="U689" s="12"/>
      <c r="V689" s="12"/>
      <c r="W689" s="12"/>
      <c r="X689" s="12"/>
      <c r="Y689" s="12"/>
      <c r="Z689" s="12"/>
      <c r="AA689" s="12"/>
      <c r="AB689" s="12"/>
      <c r="AC689" s="12"/>
      <c r="AD689" s="12"/>
      <c r="AE689" s="12"/>
      <c r="AF689" s="12"/>
      <c r="AG689" s="12"/>
      <c r="AH689" s="12"/>
      <c r="AI689" s="12"/>
    </row>
    <row r="690" spans="1:35" s="10" customFormat="1" x14ac:dyDescent="0.35">
      <c r="A690" s="12"/>
      <c r="B690" s="12"/>
      <c r="C690" s="12"/>
      <c r="D690" s="12"/>
      <c r="E690" s="12"/>
      <c r="I690" s="14"/>
      <c r="M690" s="12"/>
      <c r="T690" s="12"/>
      <c r="U690" s="12"/>
      <c r="V690" s="12"/>
      <c r="W690" s="12"/>
      <c r="X690" s="12"/>
      <c r="Y690" s="12"/>
      <c r="Z690" s="12"/>
      <c r="AA690" s="12"/>
      <c r="AB690" s="12"/>
      <c r="AC690" s="12"/>
      <c r="AD690" s="12"/>
      <c r="AE690" s="12"/>
      <c r="AF690" s="12"/>
      <c r="AG690" s="12"/>
      <c r="AH690" s="12"/>
      <c r="AI690" s="12"/>
    </row>
    <row r="691" spans="1:35" s="10" customFormat="1" x14ac:dyDescent="0.35">
      <c r="A691" s="12"/>
      <c r="B691" s="12"/>
      <c r="C691" s="12"/>
      <c r="D691" s="12"/>
      <c r="E691" s="12"/>
      <c r="I691" s="14"/>
      <c r="M691" s="12"/>
      <c r="T691" s="12"/>
      <c r="U691" s="12"/>
      <c r="V691" s="12"/>
      <c r="W691" s="12"/>
      <c r="X691" s="12"/>
      <c r="Y691" s="12"/>
      <c r="Z691" s="12"/>
      <c r="AA691" s="12"/>
      <c r="AB691" s="12"/>
      <c r="AC691" s="12"/>
      <c r="AD691" s="12"/>
      <c r="AE691" s="12"/>
      <c r="AF691" s="12"/>
      <c r="AG691" s="12"/>
      <c r="AH691" s="12"/>
      <c r="AI691" s="12"/>
    </row>
    <row r="692" spans="1:35" s="10" customFormat="1" x14ac:dyDescent="0.35">
      <c r="A692" s="12"/>
      <c r="B692" s="12"/>
      <c r="C692" s="12"/>
      <c r="D692" s="12"/>
      <c r="E692" s="12"/>
      <c r="I692" s="14"/>
      <c r="M692" s="12"/>
      <c r="T692" s="12"/>
      <c r="U692" s="12"/>
      <c r="V692" s="12"/>
      <c r="W692" s="12"/>
      <c r="X692" s="12"/>
      <c r="Y692" s="12"/>
      <c r="Z692" s="12"/>
      <c r="AA692" s="12"/>
      <c r="AB692" s="12"/>
      <c r="AC692" s="12"/>
      <c r="AD692" s="12"/>
      <c r="AE692" s="12"/>
      <c r="AF692" s="12"/>
      <c r="AG692" s="12"/>
      <c r="AH692" s="12"/>
      <c r="AI692" s="12"/>
    </row>
    <row r="693" spans="1:35" s="10" customFormat="1" x14ac:dyDescent="0.35">
      <c r="A693" s="12"/>
      <c r="B693" s="12"/>
      <c r="C693" s="12"/>
      <c r="D693" s="12"/>
      <c r="E693" s="12"/>
      <c r="I693" s="14"/>
      <c r="M693" s="12"/>
      <c r="T693" s="12"/>
      <c r="U693" s="12"/>
      <c r="V693" s="12"/>
      <c r="W693" s="12"/>
      <c r="X693" s="12"/>
      <c r="Y693" s="12"/>
      <c r="Z693" s="12"/>
      <c r="AA693" s="12"/>
      <c r="AB693" s="12"/>
      <c r="AC693" s="12"/>
      <c r="AD693" s="12"/>
      <c r="AE693" s="12"/>
      <c r="AF693" s="12"/>
      <c r="AG693" s="12"/>
      <c r="AH693" s="12"/>
      <c r="AI693" s="12"/>
    </row>
    <row r="694" spans="1:35" s="10" customFormat="1" x14ac:dyDescent="0.35">
      <c r="A694" s="12"/>
      <c r="B694" s="12"/>
      <c r="C694" s="12"/>
      <c r="D694" s="12"/>
      <c r="E694" s="12"/>
      <c r="I694" s="14"/>
      <c r="M694" s="12"/>
      <c r="T694" s="12"/>
      <c r="U694" s="12"/>
      <c r="V694" s="12"/>
      <c r="W694" s="12"/>
      <c r="X694" s="12"/>
      <c r="Y694" s="12"/>
      <c r="Z694" s="12"/>
      <c r="AA694" s="12"/>
      <c r="AB694" s="12"/>
      <c r="AC694" s="12"/>
      <c r="AD694" s="12"/>
      <c r="AE694" s="12"/>
      <c r="AF694" s="12"/>
      <c r="AG694" s="12"/>
      <c r="AH694" s="12"/>
      <c r="AI694" s="12"/>
    </row>
    <row r="695" spans="1:35" s="10" customFormat="1" x14ac:dyDescent="0.35">
      <c r="A695" s="12"/>
      <c r="B695" s="12"/>
      <c r="C695" s="12"/>
      <c r="D695" s="12"/>
      <c r="E695" s="12"/>
      <c r="I695" s="14"/>
      <c r="M695" s="12"/>
      <c r="T695" s="12"/>
      <c r="U695" s="12"/>
      <c r="V695" s="12"/>
      <c r="W695" s="12"/>
      <c r="X695" s="12"/>
      <c r="Y695" s="12"/>
      <c r="Z695" s="12"/>
      <c r="AA695" s="12"/>
      <c r="AB695" s="12"/>
      <c r="AC695" s="12"/>
      <c r="AD695" s="12"/>
      <c r="AE695" s="12"/>
      <c r="AF695" s="12"/>
      <c r="AG695" s="12"/>
      <c r="AH695" s="12"/>
      <c r="AI695" s="12"/>
    </row>
    <row r="696" spans="1:35" s="10" customFormat="1" x14ac:dyDescent="0.35">
      <c r="A696" s="12"/>
      <c r="B696" s="12"/>
      <c r="C696" s="12"/>
      <c r="D696" s="12"/>
      <c r="E696" s="12"/>
      <c r="I696" s="14"/>
      <c r="M696" s="12"/>
      <c r="T696" s="12"/>
      <c r="U696" s="12"/>
      <c r="V696" s="12"/>
      <c r="W696" s="12"/>
      <c r="X696" s="12"/>
      <c r="Y696" s="12"/>
      <c r="Z696" s="12"/>
      <c r="AA696" s="12"/>
      <c r="AB696" s="12"/>
      <c r="AC696" s="12"/>
      <c r="AD696" s="12"/>
      <c r="AE696" s="12"/>
      <c r="AF696" s="12"/>
      <c r="AG696" s="12"/>
      <c r="AH696" s="12"/>
      <c r="AI696" s="12"/>
    </row>
    <row r="697" spans="1:35" s="10" customFormat="1" x14ac:dyDescent="0.35">
      <c r="A697" s="12"/>
      <c r="B697" s="12"/>
      <c r="C697" s="12"/>
      <c r="D697" s="12"/>
      <c r="E697" s="12"/>
      <c r="I697" s="14"/>
      <c r="M697" s="12"/>
      <c r="T697" s="12"/>
      <c r="U697" s="12"/>
      <c r="V697" s="12"/>
      <c r="W697" s="12"/>
      <c r="X697" s="12"/>
      <c r="Y697" s="12"/>
      <c r="Z697" s="12"/>
      <c r="AA697" s="12"/>
      <c r="AB697" s="12"/>
      <c r="AC697" s="12"/>
      <c r="AD697" s="12"/>
      <c r="AE697" s="12"/>
      <c r="AF697" s="12"/>
      <c r="AG697" s="12"/>
      <c r="AH697" s="12"/>
      <c r="AI697" s="12"/>
    </row>
    <row r="698" spans="1:35" s="10" customFormat="1" x14ac:dyDescent="0.35">
      <c r="A698" s="12"/>
      <c r="B698" s="12"/>
      <c r="C698" s="12"/>
      <c r="D698" s="12"/>
      <c r="E698" s="12"/>
      <c r="I698" s="14"/>
      <c r="M698" s="12"/>
      <c r="T698" s="12"/>
      <c r="U698" s="12"/>
      <c r="V698" s="12"/>
      <c r="W698" s="12"/>
      <c r="X698" s="12"/>
      <c r="Y698" s="12"/>
      <c r="Z698" s="12"/>
      <c r="AA698" s="12"/>
      <c r="AB698" s="12"/>
      <c r="AC698" s="12"/>
      <c r="AD698" s="12"/>
      <c r="AE698" s="12"/>
      <c r="AF698" s="12"/>
      <c r="AG698" s="12"/>
      <c r="AH698" s="12"/>
      <c r="AI698" s="12"/>
    </row>
    <row r="699" spans="1:35" s="10" customFormat="1" x14ac:dyDescent="0.35">
      <c r="A699" s="12"/>
      <c r="B699" s="12"/>
      <c r="C699" s="12"/>
      <c r="D699" s="12"/>
      <c r="E699" s="12"/>
      <c r="I699" s="14"/>
      <c r="M699" s="12"/>
      <c r="T699" s="12"/>
      <c r="U699" s="12"/>
      <c r="V699" s="12"/>
      <c r="W699" s="12"/>
      <c r="X699" s="12"/>
      <c r="Y699" s="12"/>
      <c r="Z699" s="12"/>
      <c r="AA699" s="12"/>
      <c r="AB699" s="12"/>
      <c r="AC699" s="12"/>
      <c r="AD699" s="12"/>
      <c r="AE699" s="12"/>
      <c r="AF699" s="12"/>
      <c r="AG699" s="12"/>
      <c r="AH699" s="12"/>
      <c r="AI699" s="12"/>
    </row>
    <row r="700" spans="1:35" s="10" customFormat="1" x14ac:dyDescent="0.35">
      <c r="A700" s="12"/>
      <c r="B700" s="12"/>
      <c r="C700" s="12"/>
      <c r="D700" s="12"/>
      <c r="E700" s="12"/>
      <c r="I700" s="14"/>
      <c r="M700" s="12"/>
      <c r="T700" s="12"/>
      <c r="U700" s="12"/>
      <c r="V700" s="12"/>
      <c r="W700" s="12"/>
      <c r="X700" s="12"/>
      <c r="Y700" s="12"/>
      <c r="Z700" s="12"/>
      <c r="AA700" s="12"/>
      <c r="AB700" s="12"/>
      <c r="AC700" s="12"/>
      <c r="AD700" s="12"/>
      <c r="AE700" s="12"/>
      <c r="AF700" s="12"/>
      <c r="AG700" s="12"/>
      <c r="AH700" s="12"/>
      <c r="AI700" s="12"/>
    </row>
    <row r="701" spans="1:35" s="10" customFormat="1" x14ac:dyDescent="0.35">
      <c r="A701" s="12"/>
      <c r="B701" s="12"/>
      <c r="C701" s="12"/>
      <c r="D701" s="12"/>
      <c r="E701" s="12"/>
      <c r="I701" s="14"/>
      <c r="M701" s="12"/>
      <c r="T701" s="12"/>
      <c r="U701" s="12"/>
      <c r="V701" s="12"/>
      <c r="W701" s="12"/>
      <c r="X701" s="12"/>
      <c r="Y701" s="12"/>
      <c r="Z701" s="12"/>
      <c r="AA701" s="12"/>
      <c r="AB701" s="12"/>
      <c r="AC701" s="12"/>
      <c r="AD701" s="12"/>
      <c r="AE701" s="12"/>
      <c r="AF701" s="12"/>
      <c r="AG701" s="12"/>
      <c r="AH701" s="12"/>
      <c r="AI701" s="12"/>
    </row>
    <row r="702" spans="1:35" s="10" customFormat="1" x14ac:dyDescent="0.35">
      <c r="A702" s="12"/>
      <c r="B702" s="12"/>
      <c r="C702" s="12"/>
      <c r="D702" s="12"/>
      <c r="E702" s="12"/>
      <c r="I702" s="14"/>
      <c r="M702" s="12"/>
      <c r="T702" s="12"/>
      <c r="U702" s="12"/>
      <c r="V702" s="12"/>
      <c r="W702" s="12"/>
      <c r="X702" s="12"/>
      <c r="Y702" s="12"/>
      <c r="Z702" s="12"/>
      <c r="AA702" s="12"/>
      <c r="AB702" s="12"/>
      <c r="AC702" s="12"/>
      <c r="AD702" s="12"/>
      <c r="AE702" s="12"/>
      <c r="AF702" s="12"/>
      <c r="AG702" s="12"/>
      <c r="AH702" s="12"/>
      <c r="AI702" s="12"/>
    </row>
    <row r="703" spans="1:35" s="10" customFormat="1" x14ac:dyDescent="0.35">
      <c r="A703" s="12"/>
      <c r="B703" s="12"/>
      <c r="C703" s="12"/>
      <c r="D703" s="12"/>
      <c r="E703" s="12"/>
      <c r="I703" s="14"/>
      <c r="M703" s="12"/>
      <c r="T703" s="12"/>
      <c r="U703" s="12"/>
      <c r="V703" s="12"/>
      <c r="W703" s="12"/>
      <c r="X703" s="12"/>
      <c r="Y703" s="12"/>
      <c r="Z703" s="12"/>
      <c r="AA703" s="12"/>
      <c r="AB703" s="12"/>
      <c r="AC703" s="12"/>
      <c r="AD703" s="12"/>
      <c r="AE703" s="12"/>
      <c r="AF703" s="12"/>
      <c r="AG703" s="12"/>
      <c r="AH703" s="12"/>
      <c r="AI703" s="12"/>
    </row>
    <row r="704" spans="1:35" s="10" customFormat="1" x14ac:dyDescent="0.35">
      <c r="A704" s="12"/>
      <c r="B704" s="12"/>
      <c r="C704" s="12"/>
      <c r="D704" s="12"/>
      <c r="E704" s="12"/>
      <c r="I704" s="14"/>
      <c r="M704" s="12"/>
      <c r="T704" s="12"/>
      <c r="U704" s="12"/>
      <c r="V704" s="12"/>
      <c r="W704" s="12"/>
      <c r="X704" s="12"/>
      <c r="Y704" s="12"/>
      <c r="Z704" s="12"/>
      <c r="AA704" s="12"/>
      <c r="AB704" s="12"/>
      <c r="AC704" s="12"/>
      <c r="AD704" s="12"/>
      <c r="AE704" s="12"/>
      <c r="AF704" s="12"/>
      <c r="AG704" s="12"/>
      <c r="AH704" s="12"/>
      <c r="AI704" s="12"/>
    </row>
    <row r="705" spans="1:35" s="10" customFormat="1" x14ac:dyDescent="0.35">
      <c r="A705" s="12"/>
      <c r="B705" s="12"/>
      <c r="C705" s="12"/>
      <c r="D705" s="12"/>
      <c r="E705" s="12"/>
      <c r="I705" s="14"/>
      <c r="M705" s="12"/>
      <c r="T705" s="12"/>
      <c r="U705" s="12"/>
      <c r="V705" s="12"/>
      <c r="W705" s="12"/>
      <c r="X705" s="12"/>
      <c r="Y705" s="12"/>
      <c r="Z705" s="12"/>
      <c r="AA705" s="12"/>
      <c r="AB705" s="12"/>
      <c r="AC705" s="12"/>
      <c r="AD705" s="12"/>
      <c r="AE705" s="12"/>
      <c r="AF705" s="12"/>
      <c r="AG705" s="12"/>
      <c r="AH705" s="12"/>
      <c r="AI705" s="12"/>
    </row>
    <row r="706" spans="1:35" s="10" customFormat="1" x14ac:dyDescent="0.35">
      <c r="A706" s="12"/>
      <c r="B706" s="12"/>
      <c r="C706" s="12"/>
      <c r="D706" s="12"/>
      <c r="E706" s="12"/>
      <c r="I706" s="14"/>
      <c r="M706" s="12"/>
      <c r="T706" s="12"/>
      <c r="U706" s="12"/>
      <c r="V706" s="12"/>
      <c r="W706" s="12"/>
      <c r="X706" s="12"/>
      <c r="Y706" s="12"/>
      <c r="Z706" s="12"/>
      <c r="AA706" s="12"/>
      <c r="AB706" s="12"/>
      <c r="AC706" s="12"/>
      <c r="AD706" s="12"/>
      <c r="AE706" s="12"/>
      <c r="AF706" s="12"/>
      <c r="AG706" s="12"/>
      <c r="AH706" s="12"/>
      <c r="AI706" s="12"/>
    </row>
    <row r="707" spans="1:35" s="10" customFormat="1" x14ac:dyDescent="0.35">
      <c r="A707" s="12"/>
      <c r="B707" s="12"/>
      <c r="C707" s="12"/>
      <c r="D707" s="12"/>
      <c r="E707" s="12"/>
      <c r="I707" s="14"/>
      <c r="M707" s="12"/>
      <c r="T707" s="12"/>
      <c r="U707" s="12"/>
      <c r="V707" s="12"/>
      <c r="W707" s="12"/>
      <c r="X707" s="12"/>
      <c r="Y707" s="12"/>
      <c r="Z707" s="12"/>
      <c r="AA707" s="12"/>
      <c r="AB707" s="12"/>
      <c r="AC707" s="12"/>
      <c r="AD707" s="12"/>
      <c r="AE707" s="12"/>
      <c r="AF707" s="12"/>
      <c r="AG707" s="12"/>
      <c r="AH707" s="12"/>
      <c r="AI707" s="12"/>
    </row>
    <row r="708" spans="1:35" s="10" customFormat="1" x14ac:dyDescent="0.35">
      <c r="A708" s="12"/>
      <c r="B708" s="12"/>
      <c r="C708" s="12"/>
      <c r="D708" s="12"/>
      <c r="E708" s="12"/>
      <c r="I708" s="14"/>
      <c r="M708" s="12"/>
      <c r="T708" s="12"/>
      <c r="U708" s="12"/>
      <c r="V708" s="12"/>
      <c r="W708" s="12"/>
      <c r="X708" s="12"/>
      <c r="Y708" s="12"/>
      <c r="Z708" s="12"/>
      <c r="AA708" s="12"/>
      <c r="AB708" s="12"/>
      <c r="AC708" s="12"/>
      <c r="AD708" s="12"/>
      <c r="AE708" s="12"/>
      <c r="AF708" s="12"/>
      <c r="AG708" s="12"/>
      <c r="AH708" s="12"/>
      <c r="AI708" s="12"/>
    </row>
    <row r="709" spans="1:35" s="10" customFormat="1" x14ac:dyDescent="0.35">
      <c r="A709" s="12"/>
      <c r="B709" s="12"/>
      <c r="C709" s="12"/>
      <c r="D709" s="12"/>
      <c r="E709" s="12"/>
      <c r="I709" s="14"/>
      <c r="M709" s="12"/>
      <c r="T709" s="12"/>
      <c r="U709" s="12"/>
      <c r="V709" s="12"/>
      <c r="W709" s="12"/>
      <c r="X709" s="12"/>
      <c r="Y709" s="12"/>
      <c r="Z709" s="12"/>
      <c r="AA709" s="12"/>
      <c r="AB709" s="12"/>
      <c r="AC709" s="12"/>
      <c r="AD709" s="12"/>
      <c r="AE709" s="12"/>
      <c r="AF709" s="12"/>
      <c r="AG709" s="12"/>
      <c r="AH709" s="12"/>
      <c r="AI709" s="12"/>
    </row>
    <row r="710" spans="1:35" s="10" customFormat="1" x14ac:dyDescent="0.35">
      <c r="A710" s="12"/>
      <c r="B710" s="12"/>
      <c r="C710" s="12"/>
      <c r="D710" s="12"/>
      <c r="E710" s="12"/>
      <c r="I710" s="14"/>
      <c r="M710" s="12"/>
      <c r="T710" s="12"/>
      <c r="U710" s="12"/>
      <c r="V710" s="12"/>
      <c r="W710" s="12"/>
      <c r="X710" s="12"/>
      <c r="Y710" s="12"/>
      <c r="Z710" s="12"/>
      <c r="AA710" s="12"/>
      <c r="AB710" s="12"/>
      <c r="AC710" s="12"/>
      <c r="AD710" s="12"/>
      <c r="AE710" s="12"/>
      <c r="AF710" s="12"/>
      <c r="AG710" s="12"/>
      <c r="AH710" s="12"/>
      <c r="AI710" s="12"/>
    </row>
    <row r="711" spans="1:35" s="10" customFormat="1" x14ac:dyDescent="0.35">
      <c r="A711" s="12"/>
      <c r="B711" s="12"/>
      <c r="C711" s="12"/>
      <c r="D711" s="12"/>
      <c r="E711" s="12"/>
      <c r="I711" s="14"/>
      <c r="M711" s="12"/>
      <c r="T711" s="12"/>
      <c r="U711" s="12"/>
      <c r="V711" s="12"/>
      <c r="W711" s="12"/>
      <c r="X711" s="12"/>
      <c r="Y711" s="12"/>
      <c r="Z711" s="12"/>
      <c r="AA711" s="12"/>
      <c r="AB711" s="12"/>
      <c r="AC711" s="12"/>
      <c r="AD711" s="12"/>
      <c r="AE711" s="12"/>
      <c r="AF711" s="12"/>
      <c r="AG711" s="12"/>
      <c r="AH711" s="12"/>
      <c r="AI711" s="12"/>
    </row>
    <row r="712" spans="1:35" s="10" customFormat="1" x14ac:dyDescent="0.35">
      <c r="A712" s="12"/>
      <c r="B712" s="12"/>
      <c r="C712" s="12"/>
      <c r="D712" s="12"/>
      <c r="E712" s="12"/>
      <c r="I712" s="14"/>
      <c r="M712" s="12"/>
      <c r="T712" s="12"/>
      <c r="U712" s="12"/>
      <c r="V712" s="12"/>
      <c r="W712" s="12"/>
      <c r="X712" s="12"/>
      <c r="Y712" s="12"/>
      <c r="Z712" s="12"/>
      <c r="AA712" s="12"/>
      <c r="AB712" s="12"/>
      <c r="AC712" s="12"/>
      <c r="AD712" s="12"/>
      <c r="AE712" s="12"/>
      <c r="AF712" s="12"/>
      <c r="AG712" s="12"/>
      <c r="AH712" s="12"/>
      <c r="AI712" s="12"/>
    </row>
    <row r="713" spans="1:35" s="10" customFormat="1" x14ac:dyDescent="0.35">
      <c r="A713" s="12"/>
      <c r="B713" s="12"/>
      <c r="C713" s="12"/>
      <c r="D713" s="12"/>
      <c r="E713" s="12"/>
      <c r="I713" s="14"/>
      <c r="M713" s="12"/>
      <c r="T713" s="12"/>
      <c r="U713" s="12"/>
      <c r="V713" s="12"/>
      <c r="W713" s="12"/>
      <c r="X713" s="12"/>
      <c r="Y713" s="12"/>
      <c r="Z713" s="12"/>
      <c r="AA713" s="12"/>
      <c r="AB713" s="12"/>
      <c r="AC713" s="12"/>
      <c r="AD713" s="12"/>
      <c r="AE713" s="12"/>
      <c r="AF713" s="12"/>
      <c r="AG713" s="12"/>
      <c r="AH713" s="12"/>
      <c r="AI713" s="12"/>
    </row>
    <row r="714" spans="1:35" s="10" customFormat="1" x14ac:dyDescent="0.35">
      <c r="A714" s="12"/>
      <c r="B714" s="12"/>
      <c r="C714" s="12"/>
      <c r="D714" s="12"/>
      <c r="E714" s="12"/>
      <c r="I714" s="14"/>
      <c r="M714" s="12"/>
      <c r="T714" s="12"/>
      <c r="U714" s="12"/>
      <c r="V714" s="12"/>
      <c r="W714" s="12"/>
      <c r="X714" s="12"/>
      <c r="Y714" s="12"/>
      <c r="Z714" s="12"/>
      <c r="AA714" s="12"/>
      <c r="AB714" s="12"/>
      <c r="AC714" s="12"/>
      <c r="AD714" s="12"/>
      <c r="AE714" s="12"/>
      <c r="AF714" s="12"/>
      <c r="AG714" s="12"/>
      <c r="AH714" s="12"/>
      <c r="AI714" s="12"/>
    </row>
    <row r="715" spans="1:35" s="10" customFormat="1" x14ac:dyDescent="0.35">
      <c r="A715" s="12"/>
      <c r="B715" s="12"/>
      <c r="C715" s="12"/>
      <c r="D715" s="12"/>
      <c r="E715" s="12"/>
      <c r="I715" s="14"/>
      <c r="M715" s="12"/>
      <c r="T715" s="12"/>
      <c r="U715" s="12"/>
      <c r="V715" s="12"/>
      <c r="W715" s="12"/>
      <c r="X715" s="12"/>
      <c r="Y715" s="12"/>
      <c r="Z715" s="12"/>
      <c r="AA715" s="12"/>
      <c r="AB715" s="12"/>
      <c r="AC715" s="12"/>
      <c r="AD715" s="12"/>
      <c r="AE715" s="12"/>
      <c r="AF715" s="12"/>
      <c r="AG715" s="12"/>
      <c r="AH715" s="12"/>
      <c r="AI715" s="12"/>
    </row>
    <row r="716" spans="1:35" s="10" customFormat="1" x14ac:dyDescent="0.35">
      <c r="A716" s="12"/>
      <c r="B716" s="12"/>
      <c r="C716" s="12"/>
      <c r="D716" s="12"/>
      <c r="E716" s="12"/>
      <c r="I716" s="14"/>
      <c r="M716" s="12"/>
      <c r="T716" s="12"/>
      <c r="U716" s="12"/>
      <c r="V716" s="12"/>
      <c r="W716" s="12"/>
      <c r="X716" s="12"/>
      <c r="Y716" s="12"/>
      <c r="Z716" s="12"/>
      <c r="AA716" s="12"/>
      <c r="AB716" s="12"/>
      <c r="AC716" s="12"/>
      <c r="AD716" s="12"/>
      <c r="AE716" s="12"/>
      <c r="AF716" s="12"/>
      <c r="AG716" s="12"/>
      <c r="AH716" s="12"/>
      <c r="AI716" s="12"/>
    </row>
    <row r="717" spans="1:35" s="10" customFormat="1" x14ac:dyDescent="0.35">
      <c r="A717" s="12"/>
      <c r="B717" s="12"/>
      <c r="C717" s="12"/>
      <c r="D717" s="12"/>
      <c r="E717" s="12"/>
      <c r="I717" s="14"/>
      <c r="M717" s="12"/>
      <c r="T717" s="12"/>
      <c r="U717" s="12"/>
      <c r="V717" s="12"/>
      <c r="W717" s="12"/>
      <c r="X717" s="12"/>
      <c r="Y717" s="12"/>
      <c r="Z717" s="12"/>
      <c r="AA717" s="12"/>
      <c r="AB717" s="12"/>
      <c r="AC717" s="12"/>
      <c r="AD717" s="12"/>
      <c r="AE717" s="12"/>
      <c r="AF717" s="12"/>
      <c r="AG717" s="12"/>
      <c r="AH717" s="12"/>
      <c r="AI717" s="12"/>
    </row>
    <row r="718" spans="1:35" s="10" customFormat="1" x14ac:dyDescent="0.35">
      <c r="A718" s="12"/>
      <c r="B718" s="12"/>
      <c r="C718" s="12"/>
      <c r="D718" s="12"/>
      <c r="E718" s="12"/>
      <c r="I718" s="14"/>
      <c r="M718" s="12"/>
      <c r="T718" s="12"/>
      <c r="U718" s="12"/>
      <c r="V718" s="12"/>
      <c r="W718" s="12"/>
      <c r="X718" s="12"/>
      <c r="Y718" s="12"/>
      <c r="Z718" s="12"/>
      <c r="AA718" s="12"/>
      <c r="AB718" s="12"/>
      <c r="AC718" s="12"/>
      <c r="AD718" s="12"/>
      <c r="AE718" s="12"/>
      <c r="AF718" s="12"/>
      <c r="AG718" s="12"/>
      <c r="AH718" s="12"/>
      <c r="AI718" s="12"/>
    </row>
    <row r="719" spans="1:35" s="10" customFormat="1" x14ac:dyDescent="0.35">
      <c r="A719" s="12"/>
      <c r="B719" s="12"/>
      <c r="C719" s="12"/>
      <c r="D719" s="12"/>
      <c r="E719" s="12"/>
      <c r="I719" s="14"/>
      <c r="M719" s="12"/>
      <c r="T719" s="12"/>
      <c r="U719" s="12"/>
      <c r="V719" s="12"/>
      <c r="W719" s="12"/>
      <c r="X719" s="12"/>
      <c r="Y719" s="12"/>
      <c r="Z719" s="12"/>
      <c r="AA719" s="12"/>
      <c r="AB719" s="12"/>
      <c r="AC719" s="12"/>
      <c r="AD719" s="12"/>
      <c r="AE719" s="12"/>
      <c r="AF719" s="12"/>
      <c r="AG719" s="12"/>
      <c r="AH719" s="12"/>
      <c r="AI719" s="12"/>
    </row>
    <row r="720" spans="1:35" s="10" customFormat="1" x14ac:dyDescent="0.35">
      <c r="A720" s="12"/>
      <c r="B720" s="12"/>
      <c r="C720" s="12"/>
      <c r="D720" s="12"/>
      <c r="E720" s="12"/>
      <c r="I720" s="14"/>
      <c r="M720" s="12"/>
      <c r="T720" s="12"/>
      <c r="U720" s="12"/>
      <c r="V720" s="12"/>
      <c r="W720" s="12"/>
      <c r="X720" s="12"/>
      <c r="Y720" s="12"/>
      <c r="Z720" s="12"/>
      <c r="AA720" s="12"/>
      <c r="AB720" s="12"/>
      <c r="AC720" s="12"/>
      <c r="AD720" s="12"/>
      <c r="AE720" s="12"/>
      <c r="AF720" s="12"/>
      <c r="AG720" s="12"/>
      <c r="AH720" s="12"/>
      <c r="AI720" s="12"/>
    </row>
    <row r="721" spans="1:35" s="10" customFormat="1" x14ac:dyDescent="0.35">
      <c r="A721" s="12"/>
      <c r="B721" s="12"/>
      <c r="C721" s="12"/>
      <c r="D721" s="12"/>
      <c r="E721" s="12"/>
      <c r="I721" s="14"/>
      <c r="M721" s="12"/>
      <c r="T721" s="12"/>
      <c r="U721" s="12"/>
      <c r="V721" s="12"/>
      <c r="W721" s="12"/>
      <c r="X721" s="12"/>
      <c r="Y721" s="12"/>
      <c r="Z721" s="12"/>
      <c r="AA721" s="12"/>
      <c r="AB721" s="12"/>
      <c r="AC721" s="12"/>
      <c r="AD721" s="12"/>
      <c r="AE721" s="12"/>
      <c r="AF721" s="12"/>
      <c r="AG721" s="12"/>
      <c r="AH721" s="12"/>
      <c r="AI721" s="12"/>
    </row>
    <row r="722" spans="1:35" s="10" customFormat="1" x14ac:dyDescent="0.35">
      <c r="A722" s="12"/>
      <c r="B722" s="12"/>
      <c r="C722" s="12"/>
      <c r="D722" s="12"/>
      <c r="E722" s="12"/>
      <c r="I722" s="14"/>
      <c r="M722" s="12"/>
      <c r="T722" s="12"/>
      <c r="U722" s="12"/>
      <c r="V722" s="12"/>
      <c r="W722" s="12"/>
      <c r="X722" s="12"/>
      <c r="Y722" s="12"/>
      <c r="Z722" s="12"/>
      <c r="AA722" s="12"/>
      <c r="AB722" s="12"/>
      <c r="AC722" s="12"/>
      <c r="AD722" s="12"/>
      <c r="AE722" s="12"/>
      <c r="AF722" s="12"/>
      <c r="AG722" s="12"/>
      <c r="AH722" s="12"/>
      <c r="AI722" s="12"/>
    </row>
    <row r="723" spans="1:35" s="10" customFormat="1" x14ac:dyDescent="0.35">
      <c r="A723" s="12"/>
      <c r="B723" s="12"/>
      <c r="C723" s="12"/>
      <c r="D723" s="12"/>
      <c r="E723" s="12"/>
      <c r="I723" s="14"/>
      <c r="M723" s="12"/>
      <c r="T723" s="12"/>
      <c r="U723" s="12"/>
      <c r="V723" s="12"/>
      <c r="W723" s="12"/>
      <c r="X723" s="12"/>
      <c r="Y723" s="12"/>
      <c r="Z723" s="12"/>
      <c r="AA723" s="12"/>
      <c r="AB723" s="12"/>
      <c r="AC723" s="12"/>
      <c r="AD723" s="12"/>
      <c r="AE723" s="12"/>
      <c r="AF723" s="12"/>
      <c r="AG723" s="12"/>
      <c r="AH723" s="12"/>
      <c r="AI723" s="12"/>
    </row>
    <row r="724" spans="1:35" s="10" customFormat="1" x14ac:dyDescent="0.35">
      <c r="A724" s="12"/>
      <c r="B724" s="12"/>
      <c r="C724" s="12"/>
      <c r="D724" s="12"/>
      <c r="E724" s="12"/>
      <c r="I724" s="14"/>
      <c r="M724" s="12"/>
      <c r="T724" s="12"/>
      <c r="U724" s="12"/>
      <c r="V724" s="12"/>
      <c r="W724" s="12"/>
      <c r="X724" s="12"/>
      <c r="Y724" s="12"/>
      <c r="Z724" s="12"/>
      <c r="AA724" s="12"/>
      <c r="AB724" s="12"/>
      <c r="AC724" s="12"/>
      <c r="AD724" s="12"/>
      <c r="AE724" s="12"/>
      <c r="AF724" s="12"/>
      <c r="AG724" s="12"/>
      <c r="AH724" s="12"/>
      <c r="AI724" s="12"/>
    </row>
    <row r="725" spans="1:35" s="10" customFormat="1" x14ac:dyDescent="0.35">
      <c r="A725" s="12"/>
      <c r="B725" s="12"/>
      <c r="C725" s="12"/>
      <c r="D725" s="12"/>
      <c r="E725" s="12"/>
      <c r="I725" s="14"/>
      <c r="M725" s="12"/>
      <c r="T725" s="12"/>
      <c r="U725" s="12"/>
      <c r="V725" s="12"/>
      <c r="W725" s="12"/>
      <c r="X725" s="12"/>
      <c r="Y725" s="12"/>
      <c r="Z725" s="12"/>
      <c r="AA725" s="12"/>
      <c r="AB725" s="12"/>
      <c r="AC725" s="12"/>
      <c r="AD725" s="12"/>
      <c r="AE725" s="12"/>
      <c r="AF725" s="12"/>
      <c r="AG725" s="12"/>
      <c r="AH725" s="12"/>
      <c r="AI725" s="12"/>
    </row>
    <row r="726" spans="1:35" s="10" customFormat="1" x14ac:dyDescent="0.35">
      <c r="A726" s="12"/>
      <c r="B726" s="12"/>
      <c r="C726" s="12"/>
      <c r="D726" s="12"/>
      <c r="E726" s="12"/>
      <c r="I726" s="14"/>
      <c r="M726" s="12"/>
      <c r="T726" s="12"/>
      <c r="U726" s="12"/>
      <c r="V726" s="12"/>
      <c r="W726" s="12"/>
      <c r="X726" s="12"/>
      <c r="Y726" s="12"/>
      <c r="Z726" s="12"/>
      <c r="AA726" s="12"/>
      <c r="AB726" s="12"/>
      <c r="AC726" s="12"/>
      <c r="AD726" s="12"/>
      <c r="AE726" s="12"/>
      <c r="AF726" s="12"/>
      <c r="AG726" s="12"/>
      <c r="AH726" s="12"/>
      <c r="AI726" s="12"/>
    </row>
    <row r="727" spans="1:35" s="10" customFormat="1" x14ac:dyDescent="0.35">
      <c r="A727" s="12"/>
      <c r="B727" s="12"/>
      <c r="C727" s="12"/>
      <c r="D727" s="12"/>
      <c r="E727" s="12"/>
      <c r="I727" s="14"/>
      <c r="M727" s="12"/>
      <c r="T727" s="12"/>
      <c r="U727" s="12"/>
      <c r="V727" s="12"/>
      <c r="W727" s="12"/>
      <c r="X727" s="12"/>
      <c r="Y727" s="12"/>
      <c r="Z727" s="12"/>
      <c r="AA727" s="12"/>
      <c r="AB727" s="12"/>
      <c r="AC727" s="12"/>
      <c r="AD727" s="12"/>
      <c r="AE727" s="12"/>
      <c r="AF727" s="12"/>
      <c r="AG727" s="12"/>
      <c r="AH727" s="12"/>
      <c r="AI727" s="12"/>
    </row>
    <row r="728" spans="1:35" s="10" customFormat="1" x14ac:dyDescent="0.35">
      <c r="A728" s="12"/>
      <c r="B728" s="12"/>
      <c r="C728" s="12"/>
      <c r="D728" s="12"/>
      <c r="E728" s="12"/>
      <c r="I728" s="14"/>
      <c r="M728" s="12"/>
      <c r="T728" s="12"/>
      <c r="U728" s="12"/>
      <c r="V728" s="12"/>
      <c r="W728" s="12"/>
      <c r="X728" s="12"/>
      <c r="Y728" s="12"/>
      <c r="Z728" s="12"/>
      <c r="AA728" s="12"/>
      <c r="AB728" s="12"/>
      <c r="AC728" s="12"/>
      <c r="AD728" s="12"/>
      <c r="AE728" s="12"/>
      <c r="AF728" s="12"/>
      <c r="AG728" s="12"/>
      <c r="AH728" s="12"/>
      <c r="AI728" s="12"/>
    </row>
    <row r="729" spans="1:35" s="10" customFormat="1" x14ac:dyDescent="0.35">
      <c r="A729" s="12"/>
      <c r="B729" s="12"/>
      <c r="C729" s="12"/>
      <c r="D729" s="12"/>
      <c r="E729" s="12"/>
      <c r="I729" s="14"/>
      <c r="M729" s="12"/>
      <c r="T729" s="12"/>
      <c r="U729" s="12"/>
      <c r="V729" s="12"/>
      <c r="W729" s="12"/>
      <c r="X729" s="12"/>
      <c r="Y729" s="12"/>
      <c r="Z729" s="12"/>
      <c r="AA729" s="12"/>
      <c r="AB729" s="12"/>
      <c r="AC729" s="12"/>
      <c r="AD729" s="12"/>
      <c r="AE729" s="12"/>
      <c r="AF729" s="12"/>
      <c r="AG729" s="12"/>
      <c r="AH729" s="12"/>
      <c r="AI729" s="12"/>
    </row>
    <row r="730" spans="1:35" s="10" customFormat="1" x14ac:dyDescent="0.35">
      <c r="A730" s="12"/>
      <c r="B730" s="12"/>
      <c r="C730" s="12"/>
      <c r="D730" s="12"/>
      <c r="E730" s="12"/>
      <c r="I730" s="14"/>
      <c r="M730" s="12"/>
      <c r="T730" s="12"/>
      <c r="U730" s="12"/>
      <c r="V730" s="12"/>
      <c r="W730" s="12"/>
      <c r="X730" s="12"/>
      <c r="Y730" s="12"/>
      <c r="Z730" s="12"/>
      <c r="AA730" s="12"/>
      <c r="AB730" s="12"/>
      <c r="AC730" s="12"/>
      <c r="AD730" s="12"/>
      <c r="AE730" s="12"/>
      <c r="AF730" s="12"/>
      <c r="AG730" s="12"/>
      <c r="AH730" s="12"/>
      <c r="AI730" s="12"/>
    </row>
    <row r="731" spans="1:35" s="10" customFormat="1" x14ac:dyDescent="0.35">
      <c r="A731" s="12"/>
      <c r="B731" s="12"/>
      <c r="C731" s="12"/>
      <c r="D731" s="12"/>
      <c r="E731" s="12"/>
      <c r="I731" s="14"/>
      <c r="M731" s="12"/>
      <c r="T731" s="12"/>
      <c r="U731" s="12"/>
      <c r="V731" s="12"/>
      <c r="W731" s="12"/>
      <c r="X731" s="12"/>
      <c r="Y731" s="12"/>
      <c r="Z731" s="12"/>
      <c r="AA731" s="12"/>
      <c r="AB731" s="12"/>
      <c r="AC731" s="12"/>
      <c r="AD731" s="12"/>
      <c r="AE731" s="12"/>
      <c r="AF731" s="12"/>
      <c r="AG731" s="12"/>
      <c r="AH731" s="12"/>
      <c r="AI731" s="12"/>
    </row>
    <row r="732" spans="1:35" s="10" customFormat="1" x14ac:dyDescent="0.35">
      <c r="A732" s="12"/>
      <c r="B732" s="12"/>
      <c r="C732" s="12"/>
      <c r="D732" s="12"/>
      <c r="E732" s="12"/>
      <c r="I732" s="14"/>
      <c r="M732" s="12"/>
      <c r="T732" s="12"/>
      <c r="U732" s="12"/>
      <c r="V732" s="12"/>
      <c r="W732" s="12"/>
      <c r="X732" s="12"/>
      <c r="Y732" s="12"/>
      <c r="Z732" s="12"/>
      <c r="AA732" s="12"/>
      <c r="AB732" s="12"/>
      <c r="AC732" s="12"/>
      <c r="AD732" s="12"/>
      <c r="AE732" s="12"/>
      <c r="AF732" s="12"/>
      <c r="AG732" s="12"/>
      <c r="AH732" s="12"/>
      <c r="AI732" s="12"/>
    </row>
    <row r="733" spans="1:35" s="10" customFormat="1" x14ac:dyDescent="0.35">
      <c r="A733" s="12"/>
      <c r="B733" s="12"/>
      <c r="C733" s="12"/>
      <c r="D733" s="12"/>
      <c r="E733" s="12"/>
      <c r="I733" s="14"/>
      <c r="M733" s="12"/>
      <c r="T733" s="12"/>
      <c r="U733" s="12"/>
      <c r="V733" s="12"/>
      <c r="W733" s="12"/>
      <c r="X733" s="12"/>
      <c r="Y733" s="12"/>
      <c r="Z733" s="12"/>
      <c r="AA733" s="12"/>
      <c r="AB733" s="12"/>
      <c r="AC733" s="12"/>
      <c r="AD733" s="12"/>
      <c r="AE733" s="12"/>
      <c r="AF733" s="12"/>
      <c r="AG733" s="12"/>
      <c r="AH733" s="12"/>
      <c r="AI733" s="12"/>
    </row>
    <row r="734" spans="1:35" s="10" customFormat="1" x14ac:dyDescent="0.35">
      <c r="A734" s="12"/>
      <c r="B734" s="12"/>
      <c r="C734" s="12"/>
      <c r="D734" s="12"/>
      <c r="E734" s="12"/>
      <c r="I734" s="14"/>
      <c r="M734" s="12"/>
      <c r="T734" s="12"/>
      <c r="U734" s="12"/>
      <c r="V734" s="12"/>
      <c r="W734" s="12"/>
      <c r="X734" s="12"/>
      <c r="Y734" s="12"/>
      <c r="Z734" s="12"/>
      <c r="AA734" s="12"/>
      <c r="AB734" s="12"/>
      <c r="AC734" s="12"/>
      <c r="AD734" s="12"/>
      <c r="AE734" s="12"/>
      <c r="AF734" s="12"/>
      <c r="AG734" s="12"/>
      <c r="AH734" s="12"/>
      <c r="AI734" s="12"/>
    </row>
    <row r="735" spans="1:35" s="10" customFormat="1" x14ac:dyDescent="0.35">
      <c r="A735" s="12"/>
      <c r="B735" s="12"/>
      <c r="C735" s="12"/>
      <c r="D735" s="12"/>
      <c r="E735" s="12"/>
      <c r="I735" s="14"/>
      <c r="M735" s="12"/>
      <c r="T735" s="12"/>
      <c r="U735" s="12"/>
      <c r="V735" s="12"/>
      <c r="W735" s="12"/>
      <c r="X735" s="12"/>
      <c r="Y735" s="12"/>
      <c r="Z735" s="12"/>
      <c r="AA735" s="12"/>
      <c r="AB735" s="12"/>
      <c r="AC735" s="12"/>
      <c r="AD735" s="12"/>
      <c r="AE735" s="12"/>
      <c r="AF735" s="12"/>
      <c r="AG735" s="12"/>
      <c r="AH735" s="12"/>
      <c r="AI735" s="12"/>
    </row>
    <row r="736" spans="1:35" s="10" customFormat="1" x14ac:dyDescent="0.35">
      <c r="A736" s="12"/>
      <c r="B736" s="12"/>
      <c r="C736" s="12"/>
      <c r="D736" s="12"/>
      <c r="E736" s="12"/>
      <c r="I736" s="14"/>
      <c r="M736" s="12"/>
      <c r="T736" s="12"/>
      <c r="U736" s="12"/>
      <c r="V736" s="12"/>
      <c r="W736" s="12"/>
      <c r="X736" s="12"/>
      <c r="Y736" s="12"/>
      <c r="Z736" s="12"/>
      <c r="AA736" s="12"/>
      <c r="AB736" s="12"/>
      <c r="AC736" s="12"/>
      <c r="AD736" s="12"/>
      <c r="AE736" s="12"/>
      <c r="AF736" s="12"/>
      <c r="AG736" s="12"/>
      <c r="AH736" s="12"/>
      <c r="AI736" s="12"/>
    </row>
    <row r="737" spans="1:35" s="10" customFormat="1" x14ac:dyDescent="0.35">
      <c r="A737" s="12"/>
      <c r="B737" s="12"/>
      <c r="C737" s="12"/>
      <c r="D737" s="12"/>
      <c r="E737" s="12"/>
      <c r="I737" s="14"/>
      <c r="M737" s="12"/>
      <c r="T737" s="12"/>
      <c r="U737" s="12"/>
      <c r="V737" s="12"/>
      <c r="W737" s="12"/>
      <c r="X737" s="12"/>
      <c r="Y737" s="12"/>
      <c r="Z737" s="12"/>
      <c r="AA737" s="12"/>
      <c r="AB737" s="12"/>
      <c r="AC737" s="12"/>
      <c r="AD737" s="12"/>
      <c r="AE737" s="12"/>
      <c r="AF737" s="12"/>
      <c r="AG737" s="12"/>
      <c r="AH737" s="12"/>
      <c r="AI737" s="12"/>
    </row>
    <row r="738" spans="1:35" s="10" customFormat="1" x14ac:dyDescent="0.35">
      <c r="A738" s="12"/>
      <c r="B738" s="12"/>
      <c r="C738" s="12"/>
      <c r="D738" s="12"/>
      <c r="E738" s="12"/>
      <c r="I738" s="14"/>
      <c r="M738" s="12"/>
      <c r="T738" s="12"/>
      <c r="U738" s="12"/>
      <c r="V738" s="12"/>
      <c r="W738" s="12"/>
      <c r="X738" s="12"/>
      <c r="Y738" s="12"/>
      <c r="Z738" s="12"/>
      <c r="AA738" s="12"/>
      <c r="AB738" s="12"/>
      <c r="AC738" s="12"/>
      <c r="AD738" s="12"/>
      <c r="AE738" s="12"/>
      <c r="AF738" s="12"/>
      <c r="AG738" s="12"/>
      <c r="AH738" s="12"/>
      <c r="AI738" s="12"/>
    </row>
    <row r="739" spans="1:35" s="10" customFormat="1" x14ac:dyDescent="0.35">
      <c r="A739" s="12"/>
      <c r="B739" s="12"/>
      <c r="C739" s="12"/>
      <c r="D739" s="12"/>
      <c r="E739" s="12"/>
      <c r="I739" s="14"/>
      <c r="M739" s="12"/>
      <c r="T739" s="12"/>
      <c r="U739" s="12"/>
      <c r="V739" s="12"/>
      <c r="W739" s="12"/>
      <c r="X739" s="12"/>
      <c r="Y739" s="12"/>
      <c r="Z739" s="12"/>
      <c r="AA739" s="12"/>
      <c r="AB739" s="12"/>
      <c r="AC739" s="12"/>
      <c r="AD739" s="12"/>
      <c r="AE739" s="12"/>
      <c r="AF739" s="12"/>
      <c r="AG739" s="12"/>
      <c r="AH739" s="12"/>
      <c r="AI739" s="12"/>
    </row>
    <row r="740" spans="1:35" s="10" customFormat="1" x14ac:dyDescent="0.35">
      <c r="A740" s="12"/>
      <c r="B740" s="12"/>
      <c r="C740" s="12"/>
      <c r="D740" s="12"/>
      <c r="E740" s="12"/>
      <c r="I740" s="14"/>
      <c r="M740" s="12"/>
      <c r="T740" s="12"/>
      <c r="U740" s="12"/>
      <c r="V740" s="12"/>
      <c r="W740" s="12"/>
      <c r="X740" s="12"/>
      <c r="Y740" s="12"/>
      <c r="Z740" s="12"/>
      <c r="AA740" s="12"/>
      <c r="AB740" s="12"/>
      <c r="AC740" s="12"/>
      <c r="AD740" s="12"/>
      <c r="AE740" s="12"/>
      <c r="AF740" s="12"/>
      <c r="AG740" s="12"/>
      <c r="AH740" s="12"/>
      <c r="AI740" s="12"/>
    </row>
    <row r="741" spans="1:35" s="10" customFormat="1" x14ac:dyDescent="0.35">
      <c r="A741" s="12"/>
      <c r="B741" s="12"/>
      <c r="C741" s="12"/>
      <c r="D741" s="12"/>
      <c r="E741" s="12"/>
      <c r="I741" s="14"/>
      <c r="M741" s="12"/>
      <c r="T741" s="12"/>
      <c r="U741" s="12"/>
      <c r="V741" s="12"/>
      <c r="W741" s="12"/>
      <c r="X741" s="12"/>
      <c r="Y741" s="12"/>
      <c r="Z741" s="12"/>
      <c r="AA741" s="12"/>
      <c r="AB741" s="12"/>
      <c r="AC741" s="12"/>
      <c r="AD741" s="12"/>
      <c r="AE741" s="12"/>
      <c r="AF741" s="12"/>
      <c r="AG741" s="12"/>
      <c r="AH741" s="12"/>
      <c r="AI741" s="12"/>
    </row>
    <row r="742" spans="1:35" s="10" customFormat="1" x14ac:dyDescent="0.35">
      <c r="A742" s="12"/>
      <c r="B742" s="12"/>
      <c r="C742" s="12"/>
      <c r="D742" s="12"/>
      <c r="E742" s="12"/>
      <c r="I742" s="14"/>
      <c r="M742" s="12"/>
      <c r="T742" s="12"/>
      <c r="U742" s="12"/>
      <c r="V742" s="12"/>
      <c r="W742" s="12"/>
      <c r="X742" s="12"/>
      <c r="Y742" s="12"/>
      <c r="Z742" s="12"/>
      <c r="AA742" s="12"/>
      <c r="AB742" s="12"/>
      <c r="AC742" s="12"/>
      <c r="AD742" s="12"/>
      <c r="AE742" s="12"/>
      <c r="AF742" s="12"/>
      <c r="AG742" s="12"/>
      <c r="AH742" s="12"/>
      <c r="AI742" s="12"/>
    </row>
    <row r="743" spans="1:35" s="10" customFormat="1" x14ac:dyDescent="0.35">
      <c r="A743" s="12"/>
      <c r="B743" s="12"/>
      <c r="C743" s="12"/>
      <c r="D743" s="12"/>
      <c r="E743" s="12"/>
      <c r="I743" s="14"/>
      <c r="M743" s="12"/>
      <c r="T743" s="12"/>
      <c r="U743" s="12"/>
      <c r="V743" s="12"/>
      <c r="W743" s="12"/>
      <c r="X743" s="12"/>
      <c r="Y743" s="12"/>
      <c r="Z743" s="12"/>
      <c r="AA743" s="12"/>
      <c r="AB743" s="12"/>
      <c r="AC743" s="12"/>
      <c r="AD743" s="12"/>
      <c r="AE743" s="12"/>
      <c r="AF743" s="12"/>
      <c r="AG743" s="12"/>
      <c r="AH743" s="12"/>
      <c r="AI743" s="12"/>
    </row>
    <row r="744" spans="1:35" s="10" customFormat="1" x14ac:dyDescent="0.35">
      <c r="A744" s="12"/>
      <c r="B744" s="12"/>
      <c r="C744" s="12"/>
      <c r="D744" s="12"/>
      <c r="E744" s="12"/>
      <c r="I744" s="14"/>
      <c r="M744" s="12"/>
      <c r="T744" s="12"/>
      <c r="U744" s="12"/>
      <c r="V744" s="12"/>
      <c r="W744" s="12"/>
      <c r="X744" s="12"/>
      <c r="Y744" s="12"/>
      <c r="Z744" s="12"/>
      <c r="AA744" s="12"/>
      <c r="AB744" s="12"/>
      <c r="AC744" s="12"/>
      <c r="AD744" s="12"/>
      <c r="AE744" s="12"/>
      <c r="AF744" s="12"/>
      <c r="AG744" s="12"/>
      <c r="AH744" s="12"/>
      <c r="AI744" s="12"/>
    </row>
    <row r="745" spans="1:35" s="10" customFormat="1" x14ac:dyDescent="0.35">
      <c r="A745" s="12"/>
      <c r="B745" s="12"/>
      <c r="C745" s="12"/>
      <c r="D745" s="12"/>
      <c r="E745" s="12"/>
      <c r="I745" s="14"/>
      <c r="M745" s="12"/>
      <c r="T745" s="12"/>
      <c r="U745" s="12"/>
      <c r="V745" s="12"/>
      <c r="W745" s="12"/>
      <c r="X745" s="12"/>
      <c r="Y745" s="12"/>
      <c r="Z745" s="12"/>
      <c r="AA745" s="12"/>
      <c r="AB745" s="12"/>
      <c r="AC745" s="12"/>
      <c r="AD745" s="12"/>
      <c r="AE745" s="12"/>
      <c r="AF745" s="12"/>
      <c r="AG745" s="12"/>
      <c r="AH745" s="12"/>
      <c r="AI745" s="12"/>
    </row>
    <row r="746" spans="1:35" s="10" customFormat="1" x14ac:dyDescent="0.35">
      <c r="A746" s="12"/>
      <c r="B746" s="12"/>
      <c r="C746" s="12"/>
      <c r="D746" s="12"/>
      <c r="E746" s="12"/>
      <c r="I746" s="14"/>
      <c r="M746" s="12"/>
      <c r="T746" s="12"/>
      <c r="U746" s="12"/>
      <c r="V746" s="12"/>
      <c r="W746" s="12"/>
      <c r="X746" s="12"/>
      <c r="Y746" s="12"/>
      <c r="Z746" s="12"/>
      <c r="AA746" s="12"/>
      <c r="AB746" s="12"/>
      <c r="AC746" s="12"/>
      <c r="AD746" s="12"/>
      <c r="AE746" s="12"/>
      <c r="AF746" s="12"/>
      <c r="AG746" s="12"/>
      <c r="AH746" s="12"/>
      <c r="AI746" s="12"/>
    </row>
    <row r="747" spans="1:35" s="10" customFormat="1" x14ac:dyDescent="0.35">
      <c r="A747" s="12"/>
      <c r="B747" s="12"/>
      <c r="C747" s="12"/>
      <c r="D747" s="12"/>
      <c r="E747" s="12"/>
      <c r="I747" s="14"/>
      <c r="M747" s="12"/>
      <c r="T747" s="12"/>
      <c r="U747" s="12"/>
      <c r="V747" s="12"/>
      <c r="W747" s="12"/>
      <c r="X747" s="12"/>
      <c r="Y747" s="12"/>
      <c r="Z747" s="12"/>
      <c r="AA747" s="12"/>
      <c r="AB747" s="12"/>
      <c r="AC747" s="12"/>
      <c r="AD747" s="12"/>
      <c r="AE747" s="12"/>
      <c r="AF747" s="12"/>
      <c r="AG747" s="12"/>
      <c r="AH747" s="12"/>
      <c r="AI747" s="12"/>
    </row>
    <row r="748" spans="1:35" s="10" customFormat="1" x14ac:dyDescent="0.35">
      <c r="A748" s="12"/>
      <c r="B748" s="12"/>
      <c r="C748" s="12"/>
      <c r="D748" s="12"/>
      <c r="E748" s="12"/>
      <c r="I748" s="14"/>
      <c r="M748" s="12"/>
      <c r="T748" s="12"/>
      <c r="U748" s="12"/>
      <c r="V748" s="12"/>
      <c r="W748" s="12"/>
      <c r="X748" s="12"/>
      <c r="Y748" s="12"/>
      <c r="Z748" s="12"/>
      <c r="AA748" s="12"/>
      <c r="AB748" s="12"/>
      <c r="AC748" s="12"/>
      <c r="AD748" s="12"/>
      <c r="AE748" s="12"/>
      <c r="AF748" s="12"/>
      <c r="AG748" s="12"/>
      <c r="AH748" s="12"/>
      <c r="AI748" s="12"/>
    </row>
    <row r="749" spans="1:35" s="10" customFormat="1" x14ac:dyDescent="0.35">
      <c r="A749" s="12"/>
      <c r="B749" s="12"/>
      <c r="C749" s="12"/>
      <c r="D749" s="12"/>
      <c r="E749" s="12"/>
      <c r="I749" s="14"/>
      <c r="M749" s="12"/>
      <c r="T749" s="12"/>
      <c r="U749" s="12"/>
      <c r="V749" s="12"/>
      <c r="W749" s="12"/>
      <c r="X749" s="12"/>
      <c r="Y749" s="12"/>
      <c r="Z749" s="12"/>
      <c r="AA749" s="12"/>
      <c r="AB749" s="12"/>
      <c r="AC749" s="12"/>
      <c r="AD749" s="12"/>
      <c r="AE749" s="12"/>
      <c r="AF749" s="12"/>
      <c r="AG749" s="12"/>
      <c r="AH749" s="12"/>
      <c r="AI749" s="12"/>
    </row>
    <row r="750" spans="1:35" s="10" customFormat="1" x14ac:dyDescent="0.35">
      <c r="A750" s="12"/>
      <c r="B750" s="12"/>
      <c r="C750" s="12"/>
      <c r="D750" s="12"/>
      <c r="E750" s="12"/>
      <c r="I750" s="14"/>
      <c r="M750" s="12"/>
      <c r="T750" s="12"/>
      <c r="U750" s="12"/>
      <c r="V750" s="12"/>
      <c r="W750" s="12"/>
      <c r="X750" s="12"/>
      <c r="Y750" s="12"/>
      <c r="Z750" s="12"/>
      <c r="AA750" s="12"/>
      <c r="AB750" s="12"/>
      <c r="AC750" s="12"/>
      <c r="AD750" s="12"/>
      <c r="AE750" s="12"/>
      <c r="AF750" s="12"/>
      <c r="AG750" s="12"/>
      <c r="AH750" s="12"/>
      <c r="AI750" s="12"/>
    </row>
    <row r="751" spans="1:35" s="10" customFormat="1" x14ac:dyDescent="0.35">
      <c r="A751" s="12"/>
      <c r="B751" s="12"/>
      <c r="C751" s="12"/>
      <c r="D751" s="12"/>
      <c r="E751" s="12"/>
      <c r="I751" s="14"/>
      <c r="M751" s="12"/>
      <c r="T751" s="12"/>
      <c r="U751" s="12"/>
      <c r="V751" s="12"/>
      <c r="W751" s="12"/>
      <c r="X751" s="12"/>
      <c r="Y751" s="12"/>
      <c r="Z751" s="12"/>
      <c r="AA751" s="12"/>
      <c r="AB751" s="12"/>
      <c r="AC751" s="12"/>
      <c r="AD751" s="12"/>
      <c r="AE751" s="12"/>
      <c r="AF751" s="12"/>
      <c r="AG751" s="12"/>
      <c r="AH751" s="12"/>
      <c r="AI751" s="12"/>
    </row>
    <row r="752" spans="1:35" s="10" customFormat="1" x14ac:dyDescent="0.35">
      <c r="A752" s="12"/>
      <c r="B752" s="12"/>
      <c r="C752" s="12"/>
      <c r="D752" s="12"/>
      <c r="E752" s="12"/>
      <c r="I752" s="14"/>
      <c r="M752" s="12"/>
      <c r="T752" s="12"/>
      <c r="U752" s="12"/>
      <c r="V752" s="12"/>
      <c r="W752" s="12"/>
      <c r="X752" s="12"/>
      <c r="Y752" s="12"/>
      <c r="Z752" s="12"/>
      <c r="AA752" s="12"/>
      <c r="AB752" s="12"/>
      <c r="AC752" s="12"/>
      <c r="AD752" s="12"/>
      <c r="AE752" s="12"/>
      <c r="AF752" s="12"/>
      <c r="AG752" s="12"/>
      <c r="AH752" s="12"/>
      <c r="AI752" s="12"/>
    </row>
    <row r="753" spans="1:35" s="10" customFormat="1" x14ac:dyDescent="0.35">
      <c r="A753" s="12"/>
      <c r="B753" s="12"/>
      <c r="C753" s="12"/>
      <c r="D753" s="12"/>
      <c r="E753" s="12"/>
      <c r="I753" s="14"/>
      <c r="M753" s="12"/>
      <c r="T753" s="12"/>
      <c r="U753" s="12"/>
      <c r="V753" s="12"/>
      <c r="W753" s="12"/>
      <c r="X753" s="12"/>
      <c r="Y753" s="12"/>
      <c r="Z753" s="12"/>
      <c r="AA753" s="12"/>
      <c r="AB753" s="12"/>
      <c r="AC753" s="12"/>
      <c r="AD753" s="12"/>
      <c r="AE753" s="12"/>
      <c r="AF753" s="12"/>
      <c r="AG753" s="12"/>
      <c r="AH753" s="12"/>
      <c r="AI753" s="12"/>
    </row>
    <row r="754" spans="1:35" s="10" customFormat="1" x14ac:dyDescent="0.35">
      <c r="A754" s="12"/>
      <c r="B754" s="12"/>
      <c r="C754" s="12"/>
      <c r="D754" s="12"/>
      <c r="E754" s="12"/>
      <c r="I754" s="14"/>
      <c r="M754" s="12"/>
      <c r="T754" s="12"/>
      <c r="U754" s="12"/>
      <c r="V754" s="12"/>
      <c r="W754" s="12"/>
      <c r="X754" s="12"/>
      <c r="Y754" s="12"/>
      <c r="Z754" s="12"/>
      <c r="AA754" s="12"/>
      <c r="AB754" s="12"/>
      <c r="AC754" s="12"/>
      <c r="AD754" s="12"/>
      <c r="AE754" s="12"/>
      <c r="AF754" s="12"/>
      <c r="AG754" s="12"/>
      <c r="AH754" s="12"/>
      <c r="AI754" s="12"/>
    </row>
    <row r="755" spans="1:35" s="10" customFormat="1" x14ac:dyDescent="0.35">
      <c r="A755" s="12"/>
      <c r="B755" s="12"/>
      <c r="C755" s="12"/>
      <c r="D755" s="12"/>
      <c r="E755" s="12"/>
      <c r="I755" s="14"/>
      <c r="M755" s="12"/>
      <c r="T755" s="12"/>
      <c r="U755" s="12"/>
      <c r="V755" s="12"/>
      <c r="W755" s="12"/>
      <c r="X755" s="12"/>
      <c r="Y755" s="12"/>
      <c r="Z755" s="12"/>
      <c r="AA755" s="12"/>
      <c r="AB755" s="12"/>
      <c r="AC755" s="12"/>
      <c r="AD755" s="12"/>
      <c r="AE755" s="12"/>
      <c r="AF755" s="12"/>
      <c r="AG755" s="12"/>
      <c r="AH755" s="12"/>
      <c r="AI755" s="12"/>
    </row>
    <row r="756" spans="1:35" s="10" customFormat="1" x14ac:dyDescent="0.35">
      <c r="A756" s="12"/>
      <c r="B756" s="12"/>
      <c r="C756" s="12"/>
      <c r="D756" s="12"/>
      <c r="E756" s="12"/>
      <c r="I756" s="14"/>
      <c r="M756" s="12"/>
      <c r="T756" s="12"/>
      <c r="U756" s="12"/>
      <c r="V756" s="12"/>
      <c r="W756" s="12"/>
      <c r="X756" s="12"/>
      <c r="Y756" s="12"/>
      <c r="Z756" s="12"/>
      <c r="AA756" s="12"/>
      <c r="AB756" s="12"/>
      <c r="AC756" s="12"/>
      <c r="AD756" s="12"/>
      <c r="AE756" s="12"/>
      <c r="AF756" s="12"/>
      <c r="AG756" s="12"/>
      <c r="AH756" s="12"/>
      <c r="AI756" s="12"/>
    </row>
    <row r="757" spans="1:35" s="10" customFormat="1" x14ac:dyDescent="0.35">
      <c r="A757" s="12"/>
      <c r="B757" s="12"/>
      <c r="C757" s="12"/>
      <c r="D757" s="12"/>
      <c r="E757" s="12"/>
      <c r="I757" s="14"/>
      <c r="M757" s="12"/>
      <c r="T757" s="12"/>
      <c r="U757" s="12"/>
      <c r="V757" s="12"/>
      <c r="W757" s="12"/>
      <c r="X757" s="12"/>
      <c r="Y757" s="12"/>
      <c r="Z757" s="12"/>
      <c r="AA757" s="12"/>
      <c r="AB757" s="12"/>
      <c r="AC757" s="12"/>
      <c r="AD757" s="12"/>
      <c r="AE757" s="12"/>
      <c r="AF757" s="12"/>
      <c r="AG757" s="12"/>
      <c r="AH757" s="12"/>
      <c r="AI757" s="12"/>
    </row>
    <row r="758" spans="1:35" s="10" customFormat="1" x14ac:dyDescent="0.35">
      <c r="A758" s="12"/>
      <c r="B758" s="12"/>
      <c r="C758" s="12"/>
      <c r="D758" s="12"/>
      <c r="E758" s="12"/>
      <c r="I758" s="14"/>
      <c r="M758" s="12"/>
      <c r="T758" s="12"/>
      <c r="U758" s="12"/>
      <c r="V758" s="12"/>
      <c r="W758" s="12"/>
      <c r="X758" s="12"/>
      <c r="Y758" s="12"/>
      <c r="Z758" s="12"/>
      <c r="AA758" s="12"/>
      <c r="AB758" s="12"/>
      <c r="AC758" s="12"/>
      <c r="AD758" s="12"/>
      <c r="AE758" s="12"/>
      <c r="AF758" s="12"/>
      <c r="AG758" s="12"/>
      <c r="AH758" s="12"/>
      <c r="AI758" s="12"/>
    </row>
    <row r="759" spans="1:35" s="10" customFormat="1" x14ac:dyDescent="0.35">
      <c r="A759" s="12"/>
      <c r="B759" s="12"/>
      <c r="C759" s="12"/>
      <c r="D759" s="12"/>
      <c r="E759" s="12"/>
      <c r="I759" s="14"/>
      <c r="M759" s="12"/>
      <c r="T759" s="12"/>
      <c r="U759" s="12"/>
      <c r="V759" s="12"/>
      <c r="W759" s="12"/>
      <c r="X759" s="12"/>
      <c r="Y759" s="12"/>
      <c r="Z759" s="12"/>
      <c r="AA759" s="12"/>
      <c r="AB759" s="12"/>
      <c r="AC759" s="12"/>
      <c r="AD759" s="12"/>
      <c r="AE759" s="12"/>
      <c r="AF759" s="12"/>
      <c r="AG759" s="12"/>
      <c r="AH759" s="12"/>
      <c r="AI759" s="12"/>
    </row>
    <row r="760" spans="1:35" s="10" customFormat="1" x14ac:dyDescent="0.35">
      <c r="A760" s="12"/>
      <c r="B760" s="12"/>
      <c r="C760" s="12"/>
      <c r="D760" s="12"/>
      <c r="E760" s="12"/>
      <c r="I760" s="14"/>
      <c r="M760" s="12"/>
      <c r="T760" s="12"/>
      <c r="U760" s="12"/>
      <c r="V760" s="12"/>
      <c r="W760" s="12"/>
      <c r="X760" s="12"/>
      <c r="Y760" s="12"/>
      <c r="Z760" s="12"/>
      <c r="AA760" s="12"/>
      <c r="AB760" s="12"/>
      <c r="AC760" s="12"/>
      <c r="AD760" s="12"/>
      <c r="AE760" s="12"/>
      <c r="AF760" s="12"/>
      <c r="AG760" s="12"/>
      <c r="AH760" s="12"/>
      <c r="AI760" s="12"/>
    </row>
    <row r="761" spans="1:35" s="10" customFormat="1" x14ac:dyDescent="0.35">
      <c r="A761" s="12"/>
      <c r="B761" s="12"/>
      <c r="C761" s="12"/>
      <c r="D761" s="12"/>
      <c r="E761" s="12"/>
      <c r="I761" s="14"/>
      <c r="M761" s="12"/>
      <c r="T761" s="12"/>
      <c r="U761" s="12"/>
      <c r="V761" s="12"/>
      <c r="W761" s="12"/>
      <c r="X761" s="12"/>
      <c r="Y761" s="12"/>
      <c r="Z761" s="12"/>
      <c r="AA761" s="12"/>
      <c r="AB761" s="12"/>
      <c r="AC761" s="12"/>
      <c r="AD761" s="12"/>
      <c r="AE761" s="12"/>
      <c r="AF761" s="12"/>
      <c r="AG761" s="12"/>
      <c r="AH761" s="12"/>
      <c r="AI761" s="12"/>
    </row>
    <row r="762" spans="1:35" s="10" customFormat="1" x14ac:dyDescent="0.35">
      <c r="A762" s="12"/>
      <c r="B762" s="12"/>
      <c r="C762" s="12"/>
      <c r="D762" s="12"/>
      <c r="E762" s="12"/>
      <c r="I762" s="14"/>
      <c r="M762" s="12"/>
      <c r="T762" s="12"/>
      <c r="U762" s="12"/>
      <c r="V762" s="12"/>
      <c r="W762" s="12"/>
      <c r="X762" s="12"/>
      <c r="Y762" s="12"/>
      <c r="Z762" s="12"/>
      <c r="AA762" s="12"/>
      <c r="AB762" s="12"/>
      <c r="AC762" s="12"/>
      <c r="AD762" s="12"/>
      <c r="AE762" s="12"/>
      <c r="AF762" s="12"/>
      <c r="AG762" s="12"/>
      <c r="AH762" s="12"/>
      <c r="AI762" s="12"/>
    </row>
    <row r="763" spans="1:35" s="10" customFormat="1" x14ac:dyDescent="0.35">
      <c r="A763" s="12"/>
      <c r="B763" s="12"/>
      <c r="C763" s="12"/>
      <c r="D763" s="12"/>
      <c r="E763" s="12"/>
      <c r="I763" s="14"/>
      <c r="M763" s="12"/>
      <c r="T763" s="12"/>
      <c r="U763" s="12"/>
      <c r="V763" s="12"/>
      <c r="W763" s="12"/>
      <c r="X763" s="12"/>
      <c r="Y763" s="12"/>
      <c r="Z763" s="12"/>
      <c r="AA763" s="12"/>
      <c r="AB763" s="12"/>
      <c r="AC763" s="12"/>
      <c r="AD763" s="12"/>
      <c r="AE763" s="12"/>
      <c r="AF763" s="12"/>
      <c r="AG763" s="12"/>
      <c r="AH763" s="12"/>
      <c r="AI763" s="12"/>
    </row>
    <row r="764" spans="1:35" s="10" customFormat="1" x14ac:dyDescent="0.35">
      <c r="A764" s="12"/>
      <c r="B764" s="12"/>
      <c r="C764" s="12"/>
      <c r="D764" s="12"/>
      <c r="E764" s="12"/>
      <c r="I764" s="14"/>
      <c r="M764" s="12"/>
      <c r="T764" s="12"/>
      <c r="U764" s="12"/>
      <c r="V764" s="12"/>
      <c r="W764" s="12"/>
      <c r="X764" s="12"/>
      <c r="Y764" s="12"/>
      <c r="Z764" s="12"/>
      <c r="AA764" s="12"/>
      <c r="AB764" s="12"/>
      <c r="AC764" s="12"/>
      <c r="AD764" s="12"/>
      <c r="AE764" s="12"/>
      <c r="AF764" s="12"/>
      <c r="AG764" s="12"/>
      <c r="AH764" s="12"/>
      <c r="AI764" s="12"/>
    </row>
    <row r="765" spans="1:35" s="10" customFormat="1" x14ac:dyDescent="0.35">
      <c r="A765" s="12"/>
      <c r="B765" s="12"/>
      <c r="C765" s="12"/>
      <c r="D765" s="12"/>
      <c r="E765" s="12"/>
      <c r="I765" s="14"/>
      <c r="M765" s="12"/>
      <c r="T765" s="12"/>
      <c r="U765" s="12"/>
      <c r="V765" s="12"/>
      <c r="W765" s="12"/>
      <c r="X765" s="12"/>
      <c r="Y765" s="12"/>
      <c r="Z765" s="12"/>
      <c r="AA765" s="12"/>
      <c r="AB765" s="12"/>
      <c r="AC765" s="12"/>
      <c r="AD765" s="12"/>
      <c r="AE765" s="12"/>
      <c r="AF765" s="12"/>
      <c r="AG765" s="12"/>
      <c r="AH765" s="12"/>
      <c r="AI765" s="12"/>
    </row>
    <row r="766" spans="1:35" s="10" customFormat="1" x14ac:dyDescent="0.35">
      <c r="A766" s="12"/>
      <c r="B766" s="12"/>
      <c r="C766" s="12"/>
      <c r="D766" s="12"/>
      <c r="E766" s="12"/>
      <c r="I766" s="14"/>
      <c r="M766" s="12"/>
      <c r="T766" s="12"/>
      <c r="U766" s="12"/>
      <c r="V766" s="12"/>
      <c r="W766" s="12"/>
      <c r="X766" s="12"/>
      <c r="Y766" s="12"/>
      <c r="Z766" s="12"/>
      <c r="AA766" s="12"/>
      <c r="AB766" s="12"/>
      <c r="AC766" s="12"/>
      <c r="AD766" s="12"/>
      <c r="AE766" s="12"/>
      <c r="AF766" s="12"/>
      <c r="AG766" s="12"/>
      <c r="AH766" s="12"/>
      <c r="AI766" s="12"/>
    </row>
    <row r="767" spans="1:35" s="10" customFormat="1" x14ac:dyDescent="0.35">
      <c r="A767" s="12"/>
      <c r="B767" s="12"/>
      <c r="C767" s="12"/>
      <c r="D767" s="12"/>
      <c r="E767" s="12"/>
      <c r="I767" s="14"/>
      <c r="M767" s="12"/>
      <c r="T767" s="12"/>
      <c r="U767" s="12"/>
      <c r="V767" s="12"/>
      <c r="W767" s="12"/>
      <c r="X767" s="12"/>
      <c r="Y767" s="12"/>
      <c r="Z767" s="12"/>
      <c r="AA767" s="12"/>
      <c r="AB767" s="12"/>
      <c r="AC767" s="12"/>
      <c r="AD767" s="12"/>
      <c r="AE767" s="12"/>
      <c r="AF767" s="12"/>
      <c r="AG767" s="12"/>
      <c r="AH767" s="12"/>
      <c r="AI767" s="12"/>
    </row>
    <row r="768" spans="1:35" s="10" customFormat="1" x14ac:dyDescent="0.35">
      <c r="A768" s="12"/>
      <c r="B768" s="12"/>
      <c r="C768" s="12"/>
      <c r="D768" s="12"/>
      <c r="E768" s="12"/>
      <c r="I768" s="14"/>
      <c r="M768" s="12"/>
      <c r="T768" s="12"/>
      <c r="U768" s="12"/>
      <c r="V768" s="12"/>
      <c r="W768" s="12"/>
      <c r="X768" s="12"/>
      <c r="Y768" s="12"/>
      <c r="Z768" s="12"/>
      <c r="AA768" s="12"/>
      <c r="AB768" s="12"/>
      <c r="AC768" s="12"/>
      <c r="AD768" s="12"/>
      <c r="AE768" s="12"/>
      <c r="AF768" s="12"/>
      <c r="AG768" s="12"/>
      <c r="AH768" s="12"/>
      <c r="AI768" s="12"/>
    </row>
    <row r="769" spans="1:35" s="10" customFormat="1" x14ac:dyDescent="0.35">
      <c r="A769" s="12"/>
      <c r="B769" s="12"/>
      <c r="C769" s="12"/>
      <c r="D769" s="12"/>
      <c r="E769" s="12"/>
      <c r="I769" s="14"/>
      <c r="M769" s="12"/>
      <c r="T769" s="12"/>
      <c r="U769" s="12"/>
      <c r="V769" s="12"/>
      <c r="W769" s="12"/>
      <c r="X769" s="12"/>
      <c r="Y769" s="12"/>
      <c r="Z769" s="12"/>
      <c r="AA769" s="12"/>
      <c r="AB769" s="12"/>
      <c r="AC769" s="12"/>
      <c r="AD769" s="12"/>
      <c r="AE769" s="12"/>
      <c r="AF769" s="12"/>
      <c r="AG769" s="12"/>
      <c r="AH769" s="12"/>
      <c r="AI769" s="12"/>
    </row>
    <row r="770" spans="1:35" s="10" customFormat="1" x14ac:dyDescent="0.35">
      <c r="A770" s="12"/>
      <c r="B770" s="12"/>
      <c r="C770" s="12"/>
      <c r="D770" s="12"/>
      <c r="E770" s="12"/>
      <c r="I770" s="14"/>
      <c r="M770" s="12"/>
      <c r="T770" s="12"/>
      <c r="U770" s="12"/>
      <c r="V770" s="12"/>
      <c r="W770" s="12"/>
      <c r="X770" s="12"/>
      <c r="Y770" s="12"/>
      <c r="Z770" s="12"/>
      <c r="AA770" s="12"/>
      <c r="AB770" s="12"/>
      <c r="AC770" s="12"/>
      <c r="AD770" s="12"/>
      <c r="AE770" s="12"/>
      <c r="AF770" s="12"/>
      <c r="AG770" s="12"/>
      <c r="AH770" s="12"/>
      <c r="AI770" s="12"/>
    </row>
    <row r="771" spans="1:35" s="10" customFormat="1" x14ac:dyDescent="0.35">
      <c r="A771" s="12"/>
      <c r="B771" s="12"/>
      <c r="C771" s="12"/>
      <c r="D771" s="12"/>
      <c r="E771" s="12"/>
      <c r="I771" s="14"/>
      <c r="M771" s="12"/>
      <c r="T771" s="12"/>
      <c r="U771" s="12"/>
      <c r="V771" s="12"/>
      <c r="W771" s="12"/>
      <c r="X771" s="12"/>
      <c r="Y771" s="12"/>
      <c r="Z771" s="12"/>
      <c r="AA771" s="12"/>
      <c r="AB771" s="12"/>
      <c r="AC771" s="12"/>
      <c r="AD771" s="12"/>
      <c r="AE771" s="12"/>
      <c r="AF771" s="12"/>
      <c r="AG771" s="12"/>
      <c r="AH771" s="12"/>
      <c r="AI771" s="12"/>
    </row>
    <row r="772" spans="1:35" s="10" customFormat="1" x14ac:dyDescent="0.35">
      <c r="A772" s="12"/>
      <c r="B772" s="12"/>
      <c r="C772" s="12"/>
      <c r="D772" s="12"/>
      <c r="E772" s="12"/>
      <c r="I772" s="14"/>
      <c r="M772" s="12"/>
      <c r="T772" s="12"/>
      <c r="U772" s="12"/>
      <c r="V772" s="12"/>
      <c r="W772" s="12"/>
      <c r="X772" s="12"/>
      <c r="Y772" s="12"/>
      <c r="Z772" s="12"/>
      <c r="AA772" s="12"/>
      <c r="AB772" s="12"/>
      <c r="AC772" s="12"/>
      <c r="AD772" s="12"/>
      <c r="AE772" s="12"/>
      <c r="AF772" s="12"/>
      <c r="AG772" s="12"/>
      <c r="AH772" s="12"/>
      <c r="AI772" s="12"/>
    </row>
    <row r="773" spans="1:35" s="10" customFormat="1" x14ac:dyDescent="0.35">
      <c r="A773" s="12"/>
      <c r="B773" s="12"/>
      <c r="C773" s="12"/>
      <c r="D773" s="12"/>
      <c r="E773" s="12"/>
      <c r="I773" s="14"/>
      <c r="M773" s="12"/>
      <c r="T773" s="12"/>
      <c r="U773" s="12"/>
      <c r="V773" s="12"/>
      <c r="W773" s="12"/>
      <c r="X773" s="12"/>
      <c r="Y773" s="12"/>
      <c r="Z773" s="12"/>
      <c r="AA773" s="12"/>
      <c r="AB773" s="12"/>
      <c r="AC773" s="12"/>
      <c r="AD773" s="12"/>
      <c r="AE773" s="12"/>
      <c r="AF773" s="12"/>
      <c r="AG773" s="12"/>
      <c r="AH773" s="12"/>
      <c r="AI773" s="12"/>
    </row>
    <row r="774" spans="1:35" s="10" customFormat="1" x14ac:dyDescent="0.35">
      <c r="A774" s="12"/>
      <c r="B774" s="12"/>
      <c r="C774" s="12"/>
      <c r="D774" s="12"/>
      <c r="E774" s="12"/>
      <c r="I774" s="14"/>
      <c r="M774" s="12"/>
      <c r="T774" s="12"/>
      <c r="U774" s="12"/>
      <c r="V774" s="12"/>
      <c r="W774" s="12"/>
      <c r="X774" s="12"/>
      <c r="Y774" s="12"/>
      <c r="Z774" s="12"/>
      <c r="AA774" s="12"/>
      <c r="AB774" s="12"/>
      <c r="AC774" s="12"/>
      <c r="AD774" s="12"/>
      <c r="AE774" s="12"/>
      <c r="AF774" s="12"/>
      <c r="AG774" s="12"/>
      <c r="AH774" s="12"/>
      <c r="AI774" s="12"/>
    </row>
    <row r="775" spans="1:35" s="10" customFormat="1" x14ac:dyDescent="0.35">
      <c r="A775" s="12"/>
      <c r="B775" s="12"/>
      <c r="C775" s="12"/>
      <c r="D775" s="12"/>
      <c r="E775" s="12"/>
      <c r="I775" s="14"/>
      <c r="M775" s="12"/>
      <c r="T775" s="12"/>
      <c r="U775" s="12"/>
      <c r="V775" s="12"/>
      <c r="W775" s="12"/>
      <c r="X775" s="12"/>
      <c r="Y775" s="12"/>
      <c r="Z775" s="12"/>
      <c r="AA775" s="12"/>
      <c r="AB775" s="12"/>
      <c r="AC775" s="12"/>
      <c r="AD775" s="12"/>
      <c r="AE775" s="12"/>
      <c r="AF775" s="12"/>
      <c r="AG775" s="12"/>
      <c r="AH775" s="12"/>
      <c r="AI775" s="12"/>
    </row>
    <row r="776" spans="1:35" s="10" customFormat="1" x14ac:dyDescent="0.35">
      <c r="A776" s="12"/>
      <c r="B776" s="12"/>
      <c r="C776" s="12"/>
      <c r="D776" s="12"/>
      <c r="E776" s="12"/>
      <c r="I776" s="14"/>
      <c r="M776" s="12"/>
      <c r="T776" s="12"/>
      <c r="U776" s="12"/>
      <c r="V776" s="12"/>
      <c r="W776" s="12"/>
      <c r="X776" s="12"/>
      <c r="Y776" s="12"/>
      <c r="Z776" s="12"/>
      <c r="AA776" s="12"/>
      <c r="AB776" s="12"/>
      <c r="AC776" s="12"/>
      <c r="AD776" s="12"/>
      <c r="AE776" s="12"/>
      <c r="AF776" s="12"/>
      <c r="AG776" s="12"/>
      <c r="AH776" s="12"/>
      <c r="AI776" s="12"/>
    </row>
    <row r="777" spans="1:35" s="10" customFormat="1" x14ac:dyDescent="0.35">
      <c r="A777" s="12"/>
      <c r="B777" s="12"/>
      <c r="C777" s="12"/>
      <c r="D777" s="12"/>
      <c r="E777" s="12"/>
      <c r="I777" s="14"/>
      <c r="M777" s="12"/>
      <c r="T777" s="12"/>
      <c r="U777" s="12"/>
      <c r="V777" s="12"/>
      <c r="W777" s="12"/>
      <c r="X777" s="12"/>
      <c r="Y777" s="12"/>
      <c r="Z777" s="12"/>
      <c r="AA777" s="12"/>
      <c r="AB777" s="12"/>
      <c r="AC777" s="12"/>
      <c r="AD777" s="12"/>
      <c r="AE777" s="12"/>
      <c r="AF777" s="12"/>
      <c r="AG777" s="12"/>
      <c r="AH777" s="12"/>
      <c r="AI777" s="12"/>
    </row>
    <row r="778" spans="1:35" s="10" customFormat="1" x14ac:dyDescent="0.35">
      <c r="A778" s="12"/>
      <c r="B778" s="12"/>
      <c r="C778" s="12"/>
      <c r="D778" s="12"/>
      <c r="E778" s="12"/>
      <c r="I778" s="14"/>
      <c r="M778" s="12"/>
      <c r="T778" s="12"/>
      <c r="U778" s="12"/>
      <c r="V778" s="12"/>
      <c r="W778" s="12"/>
      <c r="X778" s="12"/>
      <c r="Y778" s="12"/>
      <c r="Z778" s="12"/>
      <c r="AA778" s="12"/>
      <c r="AB778" s="12"/>
      <c r="AC778" s="12"/>
      <c r="AD778" s="12"/>
      <c r="AE778" s="12"/>
      <c r="AF778" s="12"/>
      <c r="AG778" s="12"/>
      <c r="AH778" s="12"/>
      <c r="AI778" s="12"/>
    </row>
    <row r="779" spans="1:35" s="10" customFormat="1" x14ac:dyDescent="0.35">
      <c r="A779" s="12"/>
      <c r="B779" s="12"/>
      <c r="C779" s="12"/>
      <c r="D779" s="12"/>
      <c r="E779" s="12"/>
      <c r="I779" s="14"/>
      <c r="M779" s="12"/>
      <c r="T779" s="12"/>
      <c r="U779" s="12"/>
      <c r="V779" s="12"/>
      <c r="W779" s="12"/>
      <c r="X779" s="12"/>
      <c r="Y779" s="12"/>
      <c r="Z779" s="12"/>
      <c r="AA779" s="12"/>
      <c r="AB779" s="12"/>
      <c r="AC779" s="12"/>
      <c r="AD779" s="12"/>
      <c r="AE779" s="12"/>
      <c r="AF779" s="12"/>
      <c r="AG779" s="12"/>
      <c r="AH779" s="12"/>
      <c r="AI779" s="12"/>
    </row>
    <row r="780" spans="1:35" s="10" customFormat="1" x14ac:dyDescent="0.35">
      <c r="A780" s="12"/>
      <c r="B780" s="12"/>
      <c r="C780" s="12"/>
      <c r="D780" s="12"/>
      <c r="E780" s="12"/>
      <c r="I780" s="14"/>
      <c r="M780" s="12"/>
      <c r="T780" s="12"/>
      <c r="U780" s="12"/>
      <c r="V780" s="12"/>
      <c r="W780" s="12"/>
      <c r="X780" s="12"/>
      <c r="Y780" s="12"/>
      <c r="Z780" s="12"/>
      <c r="AA780" s="12"/>
      <c r="AB780" s="12"/>
      <c r="AC780" s="12"/>
      <c r="AD780" s="12"/>
      <c r="AE780" s="12"/>
      <c r="AF780" s="12"/>
      <c r="AG780" s="12"/>
      <c r="AH780" s="12"/>
      <c r="AI780" s="12"/>
    </row>
    <row r="781" spans="1:35" s="10" customFormat="1" x14ac:dyDescent="0.35">
      <c r="A781" s="12"/>
      <c r="B781" s="12"/>
      <c r="C781" s="12"/>
      <c r="D781" s="12"/>
      <c r="E781" s="12"/>
      <c r="I781" s="14"/>
      <c r="M781" s="12"/>
      <c r="T781" s="12"/>
      <c r="U781" s="12"/>
      <c r="V781" s="12"/>
      <c r="W781" s="12"/>
      <c r="X781" s="12"/>
      <c r="Y781" s="12"/>
      <c r="Z781" s="12"/>
      <c r="AA781" s="12"/>
      <c r="AB781" s="12"/>
      <c r="AC781" s="12"/>
      <c r="AD781" s="12"/>
      <c r="AE781" s="12"/>
      <c r="AF781" s="12"/>
      <c r="AG781" s="12"/>
      <c r="AH781" s="12"/>
      <c r="AI781" s="12"/>
    </row>
    <row r="782" spans="1:35" s="10" customFormat="1" x14ac:dyDescent="0.35">
      <c r="A782" s="12"/>
      <c r="B782" s="12"/>
      <c r="C782" s="12"/>
      <c r="D782" s="12"/>
      <c r="E782" s="12"/>
      <c r="I782" s="14"/>
      <c r="M782" s="12"/>
      <c r="T782" s="12"/>
      <c r="U782" s="12"/>
      <c r="V782" s="12"/>
      <c r="W782" s="12"/>
      <c r="X782" s="12"/>
      <c r="Y782" s="12"/>
      <c r="Z782" s="12"/>
      <c r="AA782" s="12"/>
      <c r="AB782" s="12"/>
      <c r="AC782" s="12"/>
      <c r="AD782" s="12"/>
      <c r="AE782" s="12"/>
      <c r="AF782" s="12"/>
      <c r="AG782" s="12"/>
      <c r="AH782" s="12"/>
      <c r="AI782" s="12"/>
    </row>
    <row r="783" spans="1:35" s="10" customFormat="1" x14ac:dyDescent="0.35">
      <c r="A783" s="12"/>
      <c r="B783" s="12"/>
      <c r="C783" s="12"/>
      <c r="D783" s="12"/>
      <c r="E783" s="12"/>
      <c r="I783" s="14"/>
      <c r="M783" s="12"/>
      <c r="T783" s="12"/>
      <c r="U783" s="12"/>
      <c r="V783" s="12"/>
      <c r="W783" s="12"/>
      <c r="X783" s="12"/>
      <c r="Y783" s="12"/>
      <c r="Z783" s="12"/>
      <c r="AA783" s="12"/>
      <c r="AB783" s="12"/>
      <c r="AC783" s="12"/>
      <c r="AD783" s="12"/>
      <c r="AE783" s="12"/>
      <c r="AF783" s="12"/>
      <c r="AG783" s="12"/>
      <c r="AH783" s="12"/>
      <c r="AI783" s="12"/>
    </row>
    <row r="784" spans="1:35" s="10" customFormat="1" x14ac:dyDescent="0.35">
      <c r="A784" s="12"/>
      <c r="B784" s="12"/>
      <c r="C784" s="12"/>
      <c r="D784" s="12"/>
      <c r="E784" s="12"/>
      <c r="I784" s="14"/>
      <c r="M784" s="12"/>
      <c r="T784" s="12"/>
      <c r="U784" s="12"/>
      <c r="V784" s="12"/>
      <c r="W784" s="12"/>
      <c r="X784" s="12"/>
      <c r="Y784" s="12"/>
      <c r="Z784" s="12"/>
      <c r="AA784" s="12"/>
      <c r="AB784" s="12"/>
      <c r="AC784" s="12"/>
      <c r="AD784" s="12"/>
      <c r="AE784" s="12"/>
      <c r="AF784" s="12"/>
      <c r="AG784" s="12"/>
      <c r="AH784" s="12"/>
      <c r="AI784" s="12"/>
    </row>
    <row r="785" spans="1:35" s="10" customFormat="1" x14ac:dyDescent="0.35">
      <c r="A785" s="12"/>
      <c r="B785" s="12"/>
      <c r="C785" s="12"/>
      <c r="D785" s="12"/>
      <c r="E785" s="12"/>
      <c r="I785" s="14"/>
      <c r="M785" s="12"/>
      <c r="T785" s="12"/>
      <c r="U785" s="12"/>
      <c r="V785" s="12"/>
      <c r="W785" s="12"/>
      <c r="X785" s="12"/>
      <c r="Y785" s="12"/>
      <c r="Z785" s="12"/>
      <c r="AA785" s="12"/>
      <c r="AB785" s="12"/>
      <c r="AC785" s="12"/>
      <c r="AD785" s="12"/>
      <c r="AE785" s="12"/>
      <c r="AF785" s="12"/>
      <c r="AG785" s="12"/>
      <c r="AH785" s="12"/>
      <c r="AI785" s="12"/>
    </row>
    <row r="786" spans="1:35" s="10" customFormat="1" x14ac:dyDescent="0.35">
      <c r="A786" s="12"/>
      <c r="B786" s="12"/>
      <c r="C786" s="12"/>
      <c r="D786" s="12"/>
      <c r="E786" s="12"/>
      <c r="I786" s="14"/>
      <c r="M786" s="12"/>
      <c r="T786" s="12"/>
      <c r="U786" s="12"/>
      <c r="V786" s="12"/>
      <c r="W786" s="12"/>
      <c r="X786" s="12"/>
      <c r="Y786" s="12"/>
      <c r="Z786" s="12"/>
      <c r="AA786" s="12"/>
      <c r="AB786" s="12"/>
      <c r="AC786" s="12"/>
      <c r="AD786" s="12"/>
      <c r="AE786" s="12"/>
      <c r="AF786" s="12"/>
      <c r="AG786" s="12"/>
      <c r="AH786" s="12"/>
      <c r="AI786" s="12"/>
    </row>
    <row r="787" spans="1:35" s="10" customFormat="1" x14ac:dyDescent="0.35">
      <c r="A787" s="12"/>
      <c r="B787" s="12"/>
      <c r="C787" s="12"/>
      <c r="D787" s="12"/>
      <c r="E787" s="12"/>
      <c r="I787" s="14"/>
      <c r="M787" s="12"/>
      <c r="T787" s="12"/>
      <c r="U787" s="12"/>
      <c r="V787" s="12"/>
      <c r="W787" s="12"/>
      <c r="X787" s="12"/>
      <c r="Y787" s="12"/>
      <c r="Z787" s="12"/>
      <c r="AA787" s="12"/>
      <c r="AB787" s="12"/>
      <c r="AC787" s="12"/>
      <c r="AD787" s="12"/>
      <c r="AE787" s="12"/>
      <c r="AF787" s="12"/>
      <c r="AG787" s="12"/>
      <c r="AH787" s="12"/>
      <c r="AI787" s="12"/>
    </row>
    <row r="788" spans="1:35" s="10" customFormat="1" x14ac:dyDescent="0.35">
      <c r="A788" s="12"/>
      <c r="B788" s="12"/>
      <c r="C788" s="12"/>
      <c r="D788" s="12"/>
      <c r="E788" s="12"/>
      <c r="I788" s="14"/>
      <c r="M788" s="12"/>
      <c r="T788" s="12"/>
      <c r="U788" s="12"/>
      <c r="V788" s="12"/>
      <c r="W788" s="12"/>
      <c r="X788" s="12"/>
      <c r="Y788" s="12"/>
      <c r="Z788" s="12"/>
      <c r="AA788" s="12"/>
      <c r="AB788" s="12"/>
      <c r="AC788" s="12"/>
      <c r="AD788" s="12"/>
      <c r="AE788" s="12"/>
      <c r="AF788" s="12"/>
      <c r="AG788" s="12"/>
      <c r="AH788" s="12"/>
      <c r="AI788" s="12"/>
    </row>
    <row r="789" spans="1:35" s="10" customFormat="1" x14ac:dyDescent="0.35">
      <c r="A789" s="12"/>
      <c r="B789" s="12"/>
      <c r="C789" s="12"/>
      <c r="D789" s="12"/>
      <c r="E789" s="12"/>
      <c r="I789" s="14"/>
      <c r="M789" s="12"/>
      <c r="T789" s="12"/>
      <c r="U789" s="12"/>
      <c r="V789" s="12"/>
      <c r="W789" s="12"/>
      <c r="X789" s="12"/>
      <c r="Y789" s="12"/>
      <c r="Z789" s="12"/>
      <c r="AA789" s="12"/>
      <c r="AB789" s="12"/>
      <c r="AC789" s="12"/>
      <c r="AD789" s="12"/>
      <c r="AE789" s="12"/>
      <c r="AF789" s="12"/>
      <c r="AG789" s="12"/>
      <c r="AH789" s="12"/>
      <c r="AI789" s="12"/>
    </row>
    <row r="790" spans="1:35" s="10" customFormat="1" x14ac:dyDescent="0.35">
      <c r="A790" s="12"/>
      <c r="B790" s="12"/>
      <c r="C790" s="12"/>
      <c r="D790" s="12"/>
      <c r="E790" s="12"/>
      <c r="I790" s="14"/>
      <c r="M790" s="12"/>
      <c r="T790" s="12"/>
      <c r="U790" s="12"/>
      <c r="V790" s="12"/>
      <c r="W790" s="12"/>
      <c r="X790" s="12"/>
      <c r="Y790" s="12"/>
      <c r="Z790" s="12"/>
      <c r="AA790" s="12"/>
      <c r="AB790" s="12"/>
      <c r="AC790" s="12"/>
      <c r="AD790" s="12"/>
      <c r="AE790" s="12"/>
      <c r="AF790" s="12"/>
      <c r="AG790" s="12"/>
      <c r="AH790" s="12"/>
      <c r="AI790" s="12"/>
    </row>
    <row r="791" spans="1:35" s="10" customFormat="1" x14ac:dyDescent="0.35">
      <c r="A791" s="12"/>
      <c r="B791" s="12"/>
      <c r="C791" s="12"/>
      <c r="D791" s="12"/>
      <c r="E791" s="12"/>
      <c r="I791" s="14"/>
      <c r="M791" s="12"/>
      <c r="T791" s="12"/>
      <c r="U791" s="12"/>
      <c r="V791" s="12"/>
      <c r="W791" s="12"/>
      <c r="X791" s="12"/>
      <c r="Y791" s="12"/>
      <c r="Z791" s="12"/>
      <c r="AA791" s="12"/>
      <c r="AB791" s="12"/>
      <c r="AC791" s="12"/>
      <c r="AD791" s="12"/>
      <c r="AE791" s="12"/>
      <c r="AF791" s="12"/>
      <c r="AG791" s="12"/>
      <c r="AH791" s="12"/>
      <c r="AI791" s="12"/>
    </row>
    <row r="792" spans="1:35" s="10" customFormat="1" x14ac:dyDescent="0.35">
      <c r="A792" s="12"/>
      <c r="B792" s="12"/>
      <c r="C792" s="12"/>
      <c r="D792" s="12"/>
      <c r="E792" s="12"/>
      <c r="I792" s="14"/>
      <c r="M792" s="12"/>
      <c r="T792" s="12"/>
      <c r="U792" s="12"/>
      <c r="V792" s="12"/>
      <c r="W792" s="12"/>
      <c r="X792" s="12"/>
      <c r="Y792" s="12"/>
      <c r="Z792" s="12"/>
      <c r="AA792" s="12"/>
      <c r="AB792" s="12"/>
      <c r="AC792" s="12"/>
      <c r="AD792" s="12"/>
      <c r="AE792" s="12"/>
      <c r="AF792" s="12"/>
      <c r="AG792" s="12"/>
      <c r="AH792" s="12"/>
      <c r="AI792" s="12"/>
    </row>
    <row r="793" spans="1:35" s="10" customFormat="1" x14ac:dyDescent="0.35">
      <c r="A793" s="12"/>
      <c r="B793" s="12"/>
      <c r="C793" s="12"/>
      <c r="D793" s="12"/>
      <c r="E793" s="12"/>
      <c r="I793" s="14"/>
      <c r="M793" s="12"/>
      <c r="T793" s="12"/>
      <c r="U793" s="12"/>
      <c r="V793" s="12"/>
      <c r="W793" s="12"/>
      <c r="X793" s="12"/>
      <c r="Y793" s="12"/>
      <c r="Z793" s="12"/>
      <c r="AA793" s="12"/>
      <c r="AB793" s="12"/>
      <c r="AC793" s="12"/>
      <c r="AD793" s="12"/>
      <c r="AE793" s="12"/>
      <c r="AF793" s="12"/>
      <c r="AG793" s="12"/>
      <c r="AH793" s="12"/>
      <c r="AI793" s="12"/>
    </row>
    <row r="794" spans="1:35" s="10" customFormat="1" x14ac:dyDescent="0.35">
      <c r="A794" s="12"/>
      <c r="B794" s="12"/>
      <c r="C794" s="12"/>
      <c r="D794" s="12"/>
      <c r="E794" s="12"/>
      <c r="I794" s="14"/>
      <c r="M794" s="12"/>
      <c r="T794" s="12"/>
      <c r="U794" s="12"/>
      <c r="V794" s="12"/>
      <c r="W794" s="12"/>
      <c r="X794" s="12"/>
      <c r="Y794" s="12"/>
      <c r="Z794" s="12"/>
      <c r="AA794" s="12"/>
      <c r="AB794" s="12"/>
      <c r="AC794" s="12"/>
      <c r="AD794" s="12"/>
      <c r="AE794" s="12"/>
      <c r="AF794" s="12"/>
      <c r="AG794" s="12"/>
      <c r="AH794" s="12"/>
      <c r="AI794" s="12"/>
    </row>
    <row r="795" spans="1:35" s="10" customFormat="1" x14ac:dyDescent="0.35">
      <c r="A795" s="12"/>
      <c r="B795" s="12"/>
      <c r="C795" s="12"/>
      <c r="D795" s="12"/>
      <c r="E795" s="12"/>
      <c r="I795" s="14"/>
      <c r="M795" s="12"/>
      <c r="T795" s="12"/>
      <c r="U795" s="12"/>
      <c r="V795" s="12"/>
      <c r="W795" s="12"/>
      <c r="X795" s="12"/>
      <c r="Y795" s="12"/>
      <c r="Z795" s="12"/>
      <c r="AA795" s="12"/>
      <c r="AB795" s="12"/>
      <c r="AC795" s="12"/>
      <c r="AD795" s="12"/>
      <c r="AE795" s="12"/>
      <c r="AF795" s="12"/>
      <c r="AG795" s="12"/>
      <c r="AH795" s="12"/>
      <c r="AI795" s="12"/>
    </row>
    <row r="796" spans="1:35" s="10" customFormat="1" x14ac:dyDescent="0.35">
      <c r="A796" s="12"/>
      <c r="B796" s="12"/>
      <c r="C796" s="12"/>
      <c r="D796" s="12"/>
      <c r="E796" s="12"/>
      <c r="I796" s="14"/>
      <c r="M796" s="12"/>
      <c r="T796" s="12"/>
      <c r="U796" s="12"/>
      <c r="V796" s="12"/>
      <c r="W796" s="12"/>
      <c r="X796" s="12"/>
      <c r="Y796" s="12"/>
      <c r="Z796" s="12"/>
      <c r="AA796" s="12"/>
      <c r="AB796" s="12"/>
      <c r="AC796" s="12"/>
      <c r="AD796" s="12"/>
      <c r="AE796" s="12"/>
      <c r="AF796" s="12"/>
      <c r="AG796" s="12"/>
      <c r="AH796" s="12"/>
      <c r="AI796" s="12"/>
    </row>
    <row r="797" spans="1:35" s="10" customFormat="1" x14ac:dyDescent="0.35">
      <c r="A797" s="12"/>
      <c r="B797" s="12"/>
      <c r="C797" s="12"/>
      <c r="D797" s="12"/>
      <c r="E797" s="12"/>
      <c r="I797" s="14"/>
      <c r="M797" s="12"/>
      <c r="T797" s="12"/>
      <c r="U797" s="12"/>
      <c r="V797" s="12"/>
      <c r="W797" s="12"/>
      <c r="X797" s="12"/>
      <c r="Y797" s="12"/>
      <c r="Z797" s="12"/>
      <c r="AA797" s="12"/>
      <c r="AB797" s="12"/>
      <c r="AC797" s="12"/>
      <c r="AD797" s="12"/>
      <c r="AE797" s="12"/>
      <c r="AF797" s="12"/>
      <c r="AG797" s="12"/>
      <c r="AH797" s="12"/>
      <c r="AI797" s="12"/>
    </row>
    <row r="798" spans="1:35" s="10" customFormat="1" x14ac:dyDescent="0.35">
      <c r="A798" s="12"/>
      <c r="B798" s="12"/>
      <c r="C798" s="12"/>
      <c r="D798" s="12"/>
      <c r="E798" s="12"/>
      <c r="I798" s="14"/>
      <c r="M798" s="12"/>
      <c r="T798" s="12"/>
      <c r="U798" s="12"/>
      <c r="V798" s="12"/>
      <c r="W798" s="12"/>
      <c r="X798" s="12"/>
      <c r="Y798" s="12"/>
      <c r="Z798" s="12"/>
      <c r="AA798" s="12"/>
      <c r="AB798" s="12"/>
      <c r="AC798" s="12"/>
      <c r="AD798" s="12"/>
      <c r="AE798" s="12"/>
      <c r="AF798" s="12"/>
      <c r="AG798" s="12"/>
      <c r="AH798" s="12"/>
      <c r="AI798" s="12"/>
    </row>
    <row r="799" spans="1:35" s="10" customFormat="1" x14ac:dyDescent="0.35">
      <c r="A799" s="12"/>
      <c r="B799" s="12"/>
      <c r="C799" s="12"/>
      <c r="D799" s="12"/>
      <c r="E799" s="12"/>
      <c r="I799" s="14"/>
      <c r="M799" s="12"/>
      <c r="T799" s="12"/>
      <c r="U799" s="12"/>
      <c r="V799" s="12"/>
      <c r="W799" s="12"/>
      <c r="X799" s="12"/>
      <c r="Y799" s="12"/>
      <c r="Z799" s="12"/>
      <c r="AA799" s="12"/>
      <c r="AB799" s="12"/>
      <c r="AC799" s="12"/>
      <c r="AD799" s="12"/>
      <c r="AE799" s="12"/>
      <c r="AF799" s="12"/>
      <c r="AG799" s="12"/>
      <c r="AH799" s="12"/>
      <c r="AI799" s="12"/>
    </row>
    <row r="800" spans="1:35" s="10" customFormat="1" x14ac:dyDescent="0.35">
      <c r="A800" s="12"/>
      <c r="B800" s="12"/>
      <c r="C800" s="12"/>
      <c r="D800" s="12"/>
      <c r="E800" s="12"/>
      <c r="I800" s="14"/>
      <c r="M800" s="12"/>
      <c r="T800" s="12"/>
      <c r="U800" s="12"/>
      <c r="V800" s="12"/>
      <c r="W800" s="12"/>
      <c r="X800" s="12"/>
      <c r="Y800" s="12"/>
      <c r="Z800" s="12"/>
      <c r="AA800" s="12"/>
      <c r="AB800" s="12"/>
      <c r="AC800" s="12"/>
      <c r="AD800" s="12"/>
      <c r="AE800" s="12"/>
      <c r="AF800" s="12"/>
      <c r="AG800" s="12"/>
      <c r="AH800" s="12"/>
      <c r="AI800" s="12"/>
    </row>
    <row r="801" spans="1:35" s="10" customFormat="1" x14ac:dyDescent="0.35">
      <c r="A801" s="12"/>
      <c r="B801" s="12"/>
      <c r="C801" s="12"/>
      <c r="D801" s="12"/>
      <c r="E801" s="12"/>
      <c r="I801" s="14"/>
      <c r="M801" s="12"/>
      <c r="T801" s="12"/>
      <c r="U801" s="12"/>
      <c r="V801" s="12"/>
      <c r="W801" s="12"/>
      <c r="X801" s="12"/>
      <c r="Y801" s="12"/>
      <c r="Z801" s="12"/>
      <c r="AA801" s="12"/>
      <c r="AB801" s="12"/>
      <c r="AC801" s="12"/>
      <c r="AD801" s="12"/>
      <c r="AE801" s="12"/>
      <c r="AF801" s="12"/>
      <c r="AG801" s="12"/>
      <c r="AH801" s="12"/>
      <c r="AI801" s="12"/>
    </row>
    <row r="802" spans="1:35" s="10" customFormat="1" x14ac:dyDescent="0.35">
      <c r="A802" s="12"/>
      <c r="B802" s="12"/>
      <c r="C802" s="12"/>
      <c r="D802" s="12"/>
      <c r="E802" s="12"/>
      <c r="I802" s="14"/>
      <c r="M802" s="12"/>
      <c r="T802" s="12"/>
      <c r="U802" s="12"/>
      <c r="V802" s="12"/>
      <c r="W802" s="12"/>
      <c r="X802" s="12"/>
      <c r="Y802" s="12"/>
      <c r="Z802" s="12"/>
      <c r="AA802" s="12"/>
      <c r="AB802" s="12"/>
      <c r="AC802" s="12"/>
      <c r="AD802" s="12"/>
      <c r="AE802" s="12"/>
      <c r="AF802" s="12"/>
      <c r="AG802" s="12"/>
      <c r="AH802" s="12"/>
      <c r="AI802" s="12"/>
    </row>
    <row r="803" spans="1:35" s="10" customFormat="1" x14ac:dyDescent="0.35">
      <c r="A803" s="12"/>
      <c r="B803" s="12"/>
      <c r="C803" s="12"/>
      <c r="D803" s="12"/>
      <c r="E803" s="12"/>
      <c r="I803" s="14"/>
      <c r="M803" s="12"/>
      <c r="T803" s="12"/>
      <c r="U803" s="12"/>
      <c r="V803" s="12"/>
      <c r="W803" s="12"/>
      <c r="X803" s="12"/>
      <c r="Y803" s="12"/>
      <c r="Z803" s="12"/>
      <c r="AA803" s="12"/>
      <c r="AB803" s="12"/>
      <c r="AC803" s="12"/>
      <c r="AD803" s="12"/>
      <c r="AE803" s="12"/>
      <c r="AF803" s="12"/>
      <c r="AG803" s="12"/>
      <c r="AH803" s="12"/>
      <c r="AI803" s="12"/>
    </row>
    <row r="804" spans="1:35" s="10" customFormat="1" x14ac:dyDescent="0.35">
      <c r="A804" s="12"/>
      <c r="B804" s="12"/>
      <c r="C804" s="12"/>
      <c r="D804" s="12"/>
      <c r="E804" s="12"/>
      <c r="I804" s="14"/>
      <c r="M804" s="12"/>
      <c r="T804" s="12"/>
      <c r="U804" s="12"/>
      <c r="V804" s="12"/>
      <c r="W804" s="12"/>
      <c r="X804" s="12"/>
      <c r="Y804" s="12"/>
      <c r="Z804" s="12"/>
      <c r="AA804" s="12"/>
      <c r="AB804" s="12"/>
      <c r="AC804" s="12"/>
      <c r="AD804" s="12"/>
      <c r="AE804" s="12"/>
      <c r="AF804" s="12"/>
      <c r="AG804" s="12"/>
      <c r="AH804" s="12"/>
      <c r="AI804" s="12"/>
    </row>
    <row r="805" spans="1:35" s="10" customFormat="1" x14ac:dyDescent="0.35">
      <c r="A805" s="12"/>
      <c r="B805" s="12"/>
      <c r="C805" s="12"/>
      <c r="D805" s="12"/>
      <c r="E805" s="12"/>
      <c r="I805" s="14"/>
      <c r="M805" s="12"/>
      <c r="T805" s="12"/>
      <c r="U805" s="12"/>
      <c r="V805" s="12"/>
      <c r="W805" s="12"/>
      <c r="X805" s="12"/>
      <c r="Y805" s="12"/>
      <c r="Z805" s="12"/>
      <c r="AA805" s="12"/>
      <c r="AB805" s="12"/>
      <c r="AC805" s="12"/>
      <c r="AD805" s="12"/>
      <c r="AE805" s="12"/>
      <c r="AF805" s="12"/>
      <c r="AG805" s="12"/>
      <c r="AH805" s="12"/>
      <c r="AI805" s="12"/>
    </row>
    <row r="806" spans="1:35" s="10" customFormat="1" x14ac:dyDescent="0.35">
      <c r="A806" s="12"/>
      <c r="B806" s="12"/>
      <c r="C806" s="12"/>
      <c r="D806" s="12"/>
      <c r="E806" s="12"/>
      <c r="I806" s="14"/>
      <c r="M806" s="12"/>
      <c r="T806" s="12"/>
      <c r="U806" s="12"/>
      <c r="V806" s="12"/>
      <c r="W806" s="12"/>
      <c r="X806" s="12"/>
      <c r="Y806" s="12"/>
      <c r="Z806" s="12"/>
      <c r="AA806" s="12"/>
      <c r="AB806" s="12"/>
      <c r="AC806" s="12"/>
      <c r="AD806" s="12"/>
      <c r="AE806" s="12"/>
      <c r="AF806" s="12"/>
      <c r="AG806" s="12"/>
      <c r="AH806" s="12"/>
      <c r="AI806" s="12"/>
    </row>
    <row r="807" spans="1:35" s="10" customFormat="1" x14ac:dyDescent="0.35">
      <c r="A807" s="12"/>
      <c r="B807" s="12"/>
      <c r="C807" s="12"/>
      <c r="D807" s="12"/>
      <c r="E807" s="12"/>
      <c r="I807" s="14"/>
      <c r="M807" s="12"/>
      <c r="T807" s="12"/>
      <c r="U807" s="12"/>
      <c r="V807" s="12"/>
      <c r="W807" s="12"/>
      <c r="X807" s="12"/>
      <c r="Y807" s="12"/>
      <c r="Z807" s="12"/>
      <c r="AA807" s="12"/>
      <c r="AB807" s="12"/>
      <c r="AC807" s="12"/>
      <c r="AD807" s="12"/>
      <c r="AE807" s="12"/>
      <c r="AF807" s="12"/>
      <c r="AG807" s="12"/>
      <c r="AH807" s="12"/>
      <c r="AI807" s="12"/>
    </row>
    <row r="808" spans="1:35" s="10" customFormat="1" x14ac:dyDescent="0.35">
      <c r="A808" s="12"/>
      <c r="B808" s="12"/>
      <c r="C808" s="12"/>
      <c r="D808" s="12"/>
      <c r="E808" s="12"/>
      <c r="I808" s="14"/>
      <c r="M808" s="12"/>
      <c r="T808" s="12"/>
      <c r="U808" s="12"/>
      <c r="V808" s="12"/>
      <c r="W808" s="12"/>
      <c r="X808" s="12"/>
      <c r="Y808" s="12"/>
      <c r="Z808" s="12"/>
      <c r="AA808" s="12"/>
      <c r="AB808" s="12"/>
      <c r="AC808" s="12"/>
      <c r="AD808" s="12"/>
      <c r="AE808" s="12"/>
      <c r="AF808" s="12"/>
      <c r="AG808" s="12"/>
      <c r="AH808" s="12"/>
      <c r="AI808" s="12"/>
    </row>
    <row r="809" spans="1:35" s="10" customFormat="1" x14ac:dyDescent="0.35">
      <c r="A809" s="12"/>
      <c r="B809" s="12"/>
      <c r="C809" s="12"/>
      <c r="D809" s="12"/>
      <c r="E809" s="12"/>
      <c r="I809" s="14"/>
      <c r="M809" s="12"/>
      <c r="T809" s="12"/>
      <c r="U809" s="12"/>
      <c r="V809" s="12"/>
      <c r="W809" s="12"/>
      <c r="X809" s="12"/>
      <c r="Y809" s="12"/>
      <c r="Z809" s="12"/>
      <c r="AA809" s="12"/>
      <c r="AB809" s="12"/>
      <c r="AC809" s="12"/>
      <c r="AD809" s="12"/>
      <c r="AE809" s="12"/>
      <c r="AF809" s="12"/>
      <c r="AG809" s="12"/>
      <c r="AH809" s="12"/>
      <c r="AI809" s="12"/>
    </row>
    <row r="810" spans="1:35" s="10" customFormat="1" x14ac:dyDescent="0.35">
      <c r="A810" s="12"/>
      <c r="B810" s="12"/>
      <c r="C810" s="12"/>
      <c r="D810" s="12"/>
      <c r="E810" s="12"/>
      <c r="I810" s="14"/>
      <c r="M810" s="12"/>
      <c r="T810" s="12"/>
      <c r="U810" s="12"/>
      <c r="V810" s="12"/>
      <c r="W810" s="12"/>
      <c r="X810" s="12"/>
      <c r="Y810" s="12"/>
      <c r="Z810" s="12"/>
      <c r="AA810" s="12"/>
      <c r="AB810" s="12"/>
      <c r="AC810" s="12"/>
      <c r="AD810" s="12"/>
      <c r="AE810" s="12"/>
      <c r="AF810" s="12"/>
      <c r="AG810" s="12"/>
      <c r="AH810" s="12"/>
      <c r="AI810" s="12"/>
    </row>
    <row r="811" spans="1:35" s="10" customFormat="1" x14ac:dyDescent="0.35">
      <c r="A811" s="12"/>
      <c r="B811" s="12"/>
      <c r="C811" s="12"/>
      <c r="D811" s="12"/>
      <c r="E811" s="12"/>
      <c r="I811" s="14"/>
      <c r="M811" s="12"/>
      <c r="T811" s="12"/>
      <c r="U811" s="12"/>
      <c r="V811" s="12"/>
      <c r="W811" s="12"/>
      <c r="X811" s="12"/>
      <c r="Y811" s="12"/>
      <c r="Z811" s="12"/>
      <c r="AA811" s="12"/>
      <c r="AB811" s="12"/>
      <c r="AC811" s="12"/>
      <c r="AD811" s="12"/>
      <c r="AE811" s="12"/>
      <c r="AF811" s="12"/>
      <c r="AG811" s="12"/>
      <c r="AH811" s="12"/>
      <c r="AI811" s="12"/>
    </row>
    <row r="812" spans="1:35" s="10" customFormat="1" x14ac:dyDescent="0.35">
      <c r="A812" s="12"/>
      <c r="B812" s="12"/>
      <c r="C812" s="12"/>
      <c r="D812" s="12"/>
      <c r="E812" s="12"/>
      <c r="I812" s="14"/>
      <c r="M812" s="12"/>
      <c r="T812" s="12"/>
      <c r="U812" s="12"/>
      <c r="V812" s="12"/>
      <c r="W812" s="12"/>
      <c r="X812" s="12"/>
      <c r="Y812" s="12"/>
      <c r="Z812" s="12"/>
      <c r="AA812" s="12"/>
      <c r="AB812" s="12"/>
      <c r="AC812" s="12"/>
      <c r="AD812" s="12"/>
      <c r="AE812" s="12"/>
      <c r="AF812" s="12"/>
      <c r="AG812" s="12"/>
      <c r="AH812" s="12"/>
      <c r="AI812" s="12"/>
    </row>
    <row r="813" spans="1:35" s="10" customFormat="1" x14ac:dyDescent="0.35">
      <c r="A813" s="12"/>
      <c r="B813" s="12"/>
      <c r="C813" s="12"/>
      <c r="D813" s="12"/>
      <c r="E813" s="12"/>
      <c r="I813" s="14"/>
      <c r="M813" s="12"/>
      <c r="T813" s="12"/>
      <c r="U813" s="12"/>
      <c r="V813" s="12"/>
      <c r="W813" s="12"/>
      <c r="X813" s="12"/>
      <c r="Y813" s="12"/>
      <c r="Z813" s="12"/>
      <c r="AA813" s="12"/>
      <c r="AB813" s="12"/>
      <c r="AC813" s="12"/>
      <c r="AD813" s="12"/>
      <c r="AE813" s="12"/>
      <c r="AF813" s="12"/>
      <c r="AG813" s="12"/>
      <c r="AH813" s="12"/>
      <c r="AI813" s="12"/>
    </row>
    <row r="814" spans="1:35" s="10" customFormat="1" x14ac:dyDescent="0.35">
      <c r="A814" s="12"/>
      <c r="B814" s="12"/>
      <c r="C814" s="12"/>
      <c r="D814" s="12"/>
      <c r="E814" s="12"/>
      <c r="I814" s="14"/>
      <c r="M814" s="12"/>
      <c r="T814" s="12"/>
      <c r="U814" s="12"/>
      <c r="V814" s="12"/>
      <c r="W814" s="12"/>
      <c r="X814" s="12"/>
      <c r="Y814" s="12"/>
      <c r="Z814" s="12"/>
      <c r="AA814" s="12"/>
      <c r="AB814" s="12"/>
      <c r="AC814" s="12"/>
      <c r="AD814" s="12"/>
      <c r="AE814" s="12"/>
      <c r="AF814" s="12"/>
      <c r="AG814" s="12"/>
      <c r="AH814" s="12"/>
      <c r="AI814" s="12"/>
    </row>
    <row r="815" spans="1:35" s="10" customFormat="1" x14ac:dyDescent="0.35">
      <c r="A815" s="12"/>
      <c r="B815" s="12"/>
      <c r="C815" s="12"/>
      <c r="D815" s="12"/>
      <c r="E815" s="12"/>
      <c r="I815" s="14"/>
      <c r="M815" s="12"/>
      <c r="T815" s="12"/>
      <c r="U815" s="12"/>
      <c r="V815" s="12"/>
      <c r="W815" s="12"/>
      <c r="X815" s="12"/>
      <c r="Y815" s="12"/>
      <c r="Z815" s="12"/>
      <c r="AA815" s="12"/>
      <c r="AB815" s="12"/>
      <c r="AC815" s="12"/>
      <c r="AD815" s="12"/>
      <c r="AE815" s="12"/>
      <c r="AF815" s="12"/>
      <c r="AG815" s="12"/>
      <c r="AH815" s="12"/>
      <c r="AI815" s="12"/>
    </row>
    <row r="816" spans="1:35" s="10" customFormat="1" x14ac:dyDescent="0.35">
      <c r="A816" s="12"/>
      <c r="B816" s="12"/>
      <c r="C816" s="12"/>
      <c r="D816" s="12"/>
      <c r="E816" s="12"/>
      <c r="I816" s="14"/>
      <c r="M816" s="12"/>
      <c r="T816" s="12"/>
      <c r="U816" s="12"/>
      <c r="V816" s="12"/>
      <c r="W816" s="12"/>
      <c r="X816" s="12"/>
      <c r="Y816" s="12"/>
      <c r="Z816" s="12"/>
      <c r="AA816" s="12"/>
      <c r="AB816" s="12"/>
      <c r="AC816" s="12"/>
      <c r="AD816" s="12"/>
      <c r="AE816" s="12"/>
      <c r="AF816" s="12"/>
      <c r="AG816" s="12"/>
      <c r="AH816" s="12"/>
      <c r="AI816" s="12"/>
    </row>
    <row r="817" spans="1:35" s="10" customFormat="1" x14ac:dyDescent="0.35">
      <c r="A817" s="12"/>
      <c r="B817" s="12"/>
      <c r="C817" s="12"/>
      <c r="D817" s="12"/>
      <c r="E817" s="12"/>
      <c r="I817" s="14"/>
      <c r="M817" s="12"/>
      <c r="T817" s="12"/>
      <c r="U817" s="12"/>
      <c r="V817" s="12"/>
      <c r="W817" s="12"/>
      <c r="X817" s="12"/>
      <c r="Y817" s="12"/>
      <c r="Z817" s="12"/>
      <c r="AA817" s="12"/>
      <c r="AB817" s="12"/>
      <c r="AC817" s="12"/>
      <c r="AD817" s="12"/>
      <c r="AE817" s="12"/>
      <c r="AF817" s="12"/>
      <c r="AG817" s="12"/>
      <c r="AH817" s="12"/>
      <c r="AI817" s="12"/>
    </row>
    <row r="818" spans="1:35" s="10" customFormat="1" x14ac:dyDescent="0.35">
      <c r="A818" s="12"/>
      <c r="B818" s="12"/>
      <c r="C818" s="12"/>
      <c r="D818" s="12"/>
      <c r="E818" s="12"/>
      <c r="I818" s="14"/>
      <c r="M818" s="12"/>
      <c r="T818" s="12"/>
      <c r="U818" s="12"/>
      <c r="V818" s="12"/>
      <c r="W818" s="12"/>
      <c r="X818" s="12"/>
      <c r="Y818" s="12"/>
      <c r="Z818" s="12"/>
      <c r="AA818" s="12"/>
      <c r="AB818" s="12"/>
      <c r="AC818" s="12"/>
      <c r="AD818" s="12"/>
      <c r="AE818" s="12"/>
      <c r="AF818" s="12"/>
      <c r="AG818" s="12"/>
      <c r="AH818" s="12"/>
      <c r="AI818" s="12"/>
    </row>
    <row r="819" spans="1:35" s="10" customFormat="1" x14ac:dyDescent="0.35">
      <c r="A819" s="12"/>
      <c r="B819" s="12"/>
      <c r="C819" s="12"/>
      <c r="D819" s="12"/>
      <c r="E819" s="12"/>
      <c r="I819" s="14"/>
      <c r="M819" s="12"/>
      <c r="T819" s="12"/>
      <c r="U819" s="12"/>
      <c r="V819" s="12"/>
      <c r="W819" s="12"/>
      <c r="X819" s="12"/>
      <c r="Y819" s="12"/>
      <c r="Z819" s="12"/>
      <c r="AA819" s="12"/>
      <c r="AB819" s="12"/>
      <c r="AC819" s="12"/>
      <c r="AD819" s="12"/>
      <c r="AE819" s="12"/>
      <c r="AF819" s="12"/>
      <c r="AG819" s="12"/>
      <c r="AH819" s="12"/>
      <c r="AI819" s="12"/>
    </row>
    <row r="820" spans="1:35" s="10" customFormat="1" x14ac:dyDescent="0.35">
      <c r="A820" s="12"/>
      <c r="B820" s="12"/>
      <c r="C820" s="12"/>
      <c r="D820" s="12"/>
      <c r="E820" s="12"/>
      <c r="I820" s="14"/>
      <c r="M820" s="12"/>
      <c r="T820" s="12"/>
      <c r="U820" s="12"/>
      <c r="V820" s="12"/>
      <c r="W820" s="12"/>
      <c r="X820" s="12"/>
      <c r="Y820" s="12"/>
      <c r="Z820" s="12"/>
      <c r="AA820" s="12"/>
      <c r="AB820" s="12"/>
      <c r="AC820" s="12"/>
      <c r="AD820" s="12"/>
      <c r="AE820" s="12"/>
      <c r="AF820" s="12"/>
      <c r="AG820" s="12"/>
      <c r="AH820" s="12"/>
      <c r="AI820" s="12"/>
    </row>
    <row r="821" spans="1:35" s="10" customFormat="1" x14ac:dyDescent="0.35">
      <c r="A821" s="12"/>
      <c r="B821" s="12"/>
      <c r="C821" s="12"/>
      <c r="D821" s="12"/>
      <c r="E821" s="12"/>
      <c r="I821" s="14"/>
      <c r="M821" s="12"/>
      <c r="T821" s="12"/>
      <c r="U821" s="12"/>
      <c r="V821" s="12"/>
      <c r="W821" s="12"/>
      <c r="X821" s="12"/>
      <c r="Y821" s="12"/>
      <c r="Z821" s="12"/>
      <c r="AA821" s="12"/>
      <c r="AB821" s="12"/>
      <c r="AC821" s="12"/>
      <c r="AD821" s="12"/>
      <c r="AE821" s="12"/>
      <c r="AF821" s="12"/>
      <c r="AG821" s="12"/>
      <c r="AH821" s="12"/>
      <c r="AI821" s="12"/>
    </row>
    <row r="822" spans="1:35" s="10" customFormat="1" x14ac:dyDescent="0.35">
      <c r="A822" s="12"/>
      <c r="B822" s="12"/>
      <c r="C822" s="12"/>
      <c r="D822" s="12"/>
      <c r="E822" s="12"/>
      <c r="I822" s="14"/>
      <c r="M822" s="12"/>
      <c r="T822" s="12"/>
      <c r="U822" s="12"/>
      <c r="V822" s="12"/>
      <c r="W822" s="12"/>
      <c r="X822" s="12"/>
      <c r="Y822" s="12"/>
      <c r="Z822" s="12"/>
      <c r="AA822" s="12"/>
      <c r="AB822" s="12"/>
      <c r="AC822" s="12"/>
      <c r="AD822" s="12"/>
      <c r="AE822" s="12"/>
      <c r="AF822" s="12"/>
      <c r="AG822" s="12"/>
      <c r="AH822" s="12"/>
      <c r="AI822" s="12"/>
    </row>
    <row r="823" spans="1:35" s="10" customFormat="1" x14ac:dyDescent="0.35">
      <c r="A823" s="12"/>
      <c r="B823" s="12"/>
      <c r="C823" s="12"/>
      <c r="D823" s="12"/>
      <c r="E823" s="12"/>
      <c r="I823" s="14"/>
      <c r="M823" s="12"/>
      <c r="T823" s="12"/>
      <c r="U823" s="12"/>
      <c r="V823" s="12"/>
      <c r="W823" s="12"/>
      <c r="X823" s="12"/>
      <c r="Y823" s="12"/>
      <c r="Z823" s="12"/>
      <c r="AA823" s="12"/>
      <c r="AB823" s="12"/>
      <c r="AC823" s="12"/>
      <c r="AD823" s="12"/>
      <c r="AE823" s="12"/>
      <c r="AF823" s="12"/>
      <c r="AG823" s="12"/>
      <c r="AH823" s="12"/>
      <c r="AI823" s="12"/>
    </row>
    <row r="824" spans="1:35" s="10" customFormat="1" x14ac:dyDescent="0.35">
      <c r="A824" s="12"/>
      <c r="B824" s="12"/>
      <c r="C824" s="12"/>
      <c r="D824" s="12"/>
      <c r="E824" s="12"/>
      <c r="I824" s="14"/>
      <c r="M824" s="12"/>
      <c r="T824" s="12"/>
      <c r="U824" s="12"/>
      <c r="V824" s="12"/>
      <c r="W824" s="12"/>
      <c r="X824" s="12"/>
      <c r="Y824" s="12"/>
      <c r="Z824" s="12"/>
      <c r="AA824" s="12"/>
      <c r="AB824" s="12"/>
      <c r="AC824" s="12"/>
      <c r="AD824" s="12"/>
      <c r="AE824" s="12"/>
      <c r="AF824" s="12"/>
      <c r="AG824" s="12"/>
      <c r="AH824" s="12"/>
      <c r="AI824" s="12"/>
    </row>
    <row r="825" spans="1:35" s="10" customFormat="1" x14ac:dyDescent="0.35">
      <c r="A825" s="12"/>
      <c r="B825" s="12"/>
      <c r="C825" s="12"/>
      <c r="D825" s="12"/>
      <c r="E825" s="12"/>
      <c r="I825" s="14"/>
      <c r="M825" s="12"/>
      <c r="T825" s="12"/>
      <c r="U825" s="12"/>
      <c r="V825" s="12"/>
      <c r="W825" s="12"/>
      <c r="X825" s="12"/>
      <c r="Y825" s="12"/>
      <c r="Z825" s="12"/>
      <c r="AA825" s="12"/>
      <c r="AB825" s="12"/>
      <c r="AC825" s="12"/>
      <c r="AD825" s="12"/>
      <c r="AE825" s="12"/>
      <c r="AF825" s="12"/>
      <c r="AG825" s="12"/>
      <c r="AH825" s="12"/>
      <c r="AI825" s="12"/>
    </row>
    <row r="826" spans="1:35" s="10" customFormat="1" x14ac:dyDescent="0.35">
      <c r="A826" s="12"/>
      <c r="B826" s="12"/>
      <c r="C826" s="12"/>
      <c r="D826" s="12"/>
      <c r="E826" s="12"/>
      <c r="I826" s="14"/>
      <c r="M826" s="12"/>
      <c r="T826" s="12"/>
      <c r="U826" s="12"/>
      <c r="V826" s="12"/>
      <c r="W826" s="12"/>
      <c r="X826" s="12"/>
      <c r="Y826" s="12"/>
      <c r="Z826" s="12"/>
      <c r="AA826" s="12"/>
      <c r="AB826" s="12"/>
      <c r="AC826" s="12"/>
      <c r="AD826" s="12"/>
      <c r="AE826" s="12"/>
      <c r="AF826" s="12"/>
      <c r="AG826" s="12"/>
      <c r="AH826" s="12"/>
      <c r="AI826" s="12"/>
    </row>
    <row r="827" spans="1:35" s="10" customFormat="1" x14ac:dyDescent="0.35">
      <c r="A827" s="12"/>
      <c r="B827" s="12"/>
      <c r="C827" s="12"/>
      <c r="D827" s="12"/>
      <c r="E827" s="12"/>
      <c r="I827" s="14"/>
      <c r="M827" s="12"/>
      <c r="T827" s="12"/>
      <c r="U827" s="12"/>
      <c r="V827" s="12"/>
      <c r="W827" s="12"/>
      <c r="X827" s="12"/>
      <c r="Y827" s="12"/>
      <c r="Z827" s="12"/>
      <c r="AA827" s="12"/>
      <c r="AB827" s="12"/>
      <c r="AC827" s="12"/>
      <c r="AD827" s="12"/>
      <c r="AE827" s="12"/>
      <c r="AF827" s="12"/>
      <c r="AG827" s="12"/>
      <c r="AH827" s="12"/>
      <c r="AI827" s="12"/>
    </row>
    <row r="828" spans="1:35" s="10" customFormat="1" x14ac:dyDescent="0.35">
      <c r="A828" s="12"/>
      <c r="B828" s="12"/>
      <c r="C828" s="12"/>
      <c r="D828" s="12"/>
      <c r="E828" s="12"/>
      <c r="I828" s="14"/>
      <c r="M828" s="12"/>
      <c r="T828" s="12"/>
      <c r="U828" s="12"/>
      <c r="V828" s="12"/>
      <c r="W828" s="12"/>
      <c r="X828" s="12"/>
      <c r="Y828" s="12"/>
      <c r="Z828" s="12"/>
      <c r="AA828" s="12"/>
      <c r="AB828" s="12"/>
      <c r="AC828" s="12"/>
      <c r="AD828" s="12"/>
      <c r="AE828" s="12"/>
      <c r="AF828" s="12"/>
      <c r="AG828" s="12"/>
      <c r="AH828" s="12"/>
      <c r="AI828" s="12"/>
    </row>
    <row r="829" spans="1:35" s="10" customFormat="1" x14ac:dyDescent="0.35">
      <c r="A829" s="12"/>
      <c r="B829" s="12"/>
      <c r="C829" s="12"/>
      <c r="D829" s="12"/>
      <c r="E829" s="12"/>
      <c r="I829" s="14"/>
      <c r="M829" s="12"/>
      <c r="T829" s="12"/>
      <c r="U829" s="12"/>
      <c r="V829" s="12"/>
      <c r="W829" s="12"/>
      <c r="X829" s="12"/>
      <c r="Y829" s="12"/>
      <c r="Z829" s="12"/>
      <c r="AA829" s="12"/>
      <c r="AB829" s="12"/>
      <c r="AC829" s="12"/>
      <c r="AD829" s="12"/>
      <c r="AE829" s="12"/>
      <c r="AF829" s="12"/>
      <c r="AG829" s="12"/>
      <c r="AH829" s="12"/>
      <c r="AI829" s="12"/>
    </row>
    <row r="830" spans="1:35" s="10" customFormat="1" x14ac:dyDescent="0.35">
      <c r="A830" s="12"/>
      <c r="B830" s="12"/>
      <c r="C830" s="12"/>
      <c r="D830" s="12"/>
      <c r="E830" s="12"/>
      <c r="I830" s="14"/>
      <c r="M830" s="12"/>
      <c r="T830" s="12"/>
      <c r="U830" s="12"/>
      <c r="V830" s="12"/>
      <c r="W830" s="12"/>
      <c r="X830" s="12"/>
      <c r="Y830" s="12"/>
      <c r="Z830" s="12"/>
      <c r="AA830" s="12"/>
      <c r="AB830" s="12"/>
      <c r="AC830" s="12"/>
      <c r="AD830" s="12"/>
      <c r="AE830" s="12"/>
      <c r="AF830" s="12"/>
      <c r="AG830" s="12"/>
      <c r="AH830" s="12"/>
      <c r="AI830" s="12"/>
    </row>
    <row r="831" spans="1:35" s="10" customFormat="1" x14ac:dyDescent="0.35">
      <c r="A831" s="12"/>
      <c r="B831" s="12"/>
      <c r="C831" s="12"/>
      <c r="D831" s="12"/>
      <c r="E831" s="12"/>
      <c r="I831" s="14"/>
      <c r="M831" s="12"/>
      <c r="T831" s="12"/>
      <c r="U831" s="12"/>
      <c r="V831" s="12"/>
      <c r="W831" s="12"/>
      <c r="X831" s="12"/>
      <c r="Y831" s="12"/>
      <c r="Z831" s="12"/>
      <c r="AA831" s="12"/>
      <c r="AB831" s="12"/>
      <c r="AC831" s="12"/>
      <c r="AD831" s="12"/>
      <c r="AE831" s="12"/>
      <c r="AF831" s="12"/>
      <c r="AG831" s="12"/>
      <c r="AH831" s="12"/>
      <c r="AI831" s="12"/>
    </row>
    <row r="832" spans="1:35" s="10" customFormat="1" x14ac:dyDescent="0.35">
      <c r="A832" s="12"/>
      <c r="B832" s="12"/>
      <c r="C832" s="12"/>
      <c r="D832" s="12"/>
      <c r="E832" s="12"/>
      <c r="I832" s="14"/>
      <c r="M832" s="12"/>
      <c r="T832" s="12"/>
      <c r="U832" s="12"/>
      <c r="V832" s="12"/>
      <c r="W832" s="12"/>
      <c r="X832" s="12"/>
      <c r="Y832" s="12"/>
      <c r="Z832" s="12"/>
      <c r="AA832" s="12"/>
      <c r="AB832" s="12"/>
      <c r="AC832" s="12"/>
      <c r="AD832" s="12"/>
      <c r="AE832" s="12"/>
      <c r="AF832" s="12"/>
      <c r="AG832" s="12"/>
      <c r="AH832" s="12"/>
      <c r="AI832" s="12"/>
    </row>
    <row r="833" spans="1:35" s="10" customFormat="1" x14ac:dyDescent="0.35">
      <c r="A833" s="12"/>
      <c r="B833" s="12"/>
      <c r="C833" s="12"/>
      <c r="D833" s="12"/>
      <c r="E833" s="12"/>
      <c r="I833" s="14"/>
      <c r="M833" s="12"/>
      <c r="T833" s="12"/>
      <c r="U833" s="12"/>
      <c r="V833" s="12"/>
      <c r="W833" s="12"/>
      <c r="X833" s="12"/>
      <c r="Y833" s="12"/>
      <c r="Z833" s="12"/>
      <c r="AA833" s="12"/>
      <c r="AB833" s="12"/>
      <c r="AC833" s="12"/>
      <c r="AD833" s="12"/>
      <c r="AE833" s="12"/>
      <c r="AF833" s="12"/>
      <c r="AG833" s="12"/>
      <c r="AH833" s="12"/>
      <c r="AI833" s="12"/>
    </row>
    <row r="834" spans="1:35" s="10" customFormat="1" x14ac:dyDescent="0.35">
      <c r="A834" s="12"/>
      <c r="B834" s="12"/>
      <c r="C834" s="12"/>
      <c r="D834" s="12"/>
      <c r="E834" s="12"/>
      <c r="I834" s="14"/>
      <c r="M834" s="12"/>
      <c r="T834" s="12"/>
      <c r="U834" s="12"/>
      <c r="V834" s="12"/>
      <c r="W834" s="12"/>
      <c r="X834" s="12"/>
      <c r="Y834" s="12"/>
      <c r="Z834" s="12"/>
      <c r="AA834" s="12"/>
      <c r="AB834" s="12"/>
      <c r="AC834" s="12"/>
      <c r="AD834" s="12"/>
      <c r="AE834" s="12"/>
      <c r="AF834" s="12"/>
      <c r="AG834" s="12"/>
      <c r="AH834" s="12"/>
      <c r="AI834" s="12"/>
    </row>
    <row r="835" spans="1:35" s="10" customFormat="1" x14ac:dyDescent="0.35">
      <c r="A835" s="12"/>
      <c r="B835" s="12"/>
      <c r="C835" s="12"/>
      <c r="D835" s="12"/>
      <c r="E835" s="12"/>
      <c r="I835" s="14"/>
      <c r="M835" s="12"/>
      <c r="T835" s="12"/>
      <c r="U835" s="12"/>
      <c r="V835" s="12"/>
      <c r="W835" s="12"/>
      <c r="X835" s="12"/>
      <c r="Y835" s="12"/>
      <c r="Z835" s="12"/>
      <c r="AA835" s="12"/>
      <c r="AB835" s="12"/>
      <c r="AC835" s="12"/>
      <c r="AD835" s="12"/>
      <c r="AE835" s="12"/>
      <c r="AF835" s="12"/>
      <c r="AG835" s="12"/>
      <c r="AH835" s="12"/>
      <c r="AI835" s="12"/>
    </row>
    <row r="836" spans="1:35" s="10" customFormat="1" x14ac:dyDescent="0.35">
      <c r="A836" s="12"/>
      <c r="B836" s="12"/>
      <c r="C836" s="12"/>
      <c r="D836" s="12"/>
      <c r="E836" s="12"/>
      <c r="I836" s="14"/>
      <c r="M836" s="12"/>
      <c r="T836" s="12"/>
      <c r="U836" s="12"/>
      <c r="V836" s="12"/>
      <c r="W836" s="12"/>
      <c r="X836" s="12"/>
      <c r="Y836" s="12"/>
      <c r="Z836" s="12"/>
      <c r="AA836" s="12"/>
      <c r="AB836" s="12"/>
      <c r="AC836" s="12"/>
      <c r="AD836" s="12"/>
      <c r="AE836" s="12"/>
      <c r="AF836" s="12"/>
      <c r="AG836" s="12"/>
      <c r="AH836" s="12"/>
      <c r="AI836" s="12"/>
    </row>
    <row r="837" spans="1:35" s="10" customFormat="1" x14ac:dyDescent="0.35">
      <c r="A837" s="12"/>
      <c r="B837" s="12"/>
      <c r="C837" s="12"/>
      <c r="D837" s="12"/>
      <c r="E837" s="12"/>
      <c r="I837" s="14"/>
      <c r="M837" s="12"/>
      <c r="T837" s="12"/>
      <c r="U837" s="12"/>
      <c r="V837" s="12"/>
      <c r="W837" s="12"/>
      <c r="X837" s="12"/>
      <c r="Y837" s="12"/>
      <c r="Z837" s="12"/>
      <c r="AA837" s="12"/>
      <c r="AB837" s="12"/>
      <c r="AC837" s="12"/>
      <c r="AD837" s="12"/>
      <c r="AE837" s="12"/>
      <c r="AF837" s="12"/>
      <c r="AG837" s="12"/>
      <c r="AH837" s="12"/>
      <c r="AI837" s="12"/>
    </row>
    <row r="838" spans="1:35" s="10" customFormat="1" x14ac:dyDescent="0.35">
      <c r="A838" s="12"/>
      <c r="B838" s="12"/>
      <c r="C838" s="12"/>
      <c r="D838" s="12"/>
      <c r="E838" s="12"/>
      <c r="I838" s="14"/>
      <c r="M838" s="12"/>
      <c r="T838" s="12"/>
      <c r="U838" s="12"/>
      <c r="V838" s="12"/>
      <c r="W838" s="12"/>
      <c r="X838" s="12"/>
      <c r="Y838" s="12"/>
      <c r="Z838" s="12"/>
      <c r="AA838" s="12"/>
      <c r="AB838" s="12"/>
      <c r="AC838" s="12"/>
      <c r="AD838" s="12"/>
      <c r="AE838" s="12"/>
      <c r="AF838" s="12"/>
      <c r="AG838" s="12"/>
      <c r="AH838" s="12"/>
      <c r="AI838" s="12"/>
    </row>
    <row r="839" spans="1:35" s="10" customFormat="1" x14ac:dyDescent="0.35">
      <c r="A839" s="12"/>
      <c r="B839" s="12"/>
      <c r="C839" s="12"/>
      <c r="D839" s="12"/>
      <c r="E839" s="12"/>
      <c r="I839" s="14"/>
      <c r="M839" s="12"/>
      <c r="T839" s="12"/>
      <c r="U839" s="12"/>
      <c r="V839" s="12"/>
      <c r="W839" s="12"/>
      <c r="X839" s="12"/>
      <c r="Y839" s="12"/>
      <c r="Z839" s="12"/>
      <c r="AA839" s="12"/>
      <c r="AB839" s="12"/>
      <c r="AC839" s="12"/>
      <c r="AD839" s="12"/>
      <c r="AE839" s="12"/>
      <c r="AF839" s="12"/>
      <c r="AG839" s="12"/>
      <c r="AH839" s="12"/>
      <c r="AI839" s="12"/>
    </row>
    <row r="840" spans="1:35" s="10" customFormat="1" x14ac:dyDescent="0.35">
      <c r="A840" s="12"/>
      <c r="B840" s="12"/>
      <c r="C840" s="12"/>
      <c r="D840" s="12"/>
      <c r="E840" s="12"/>
      <c r="I840" s="14"/>
      <c r="M840" s="12"/>
      <c r="T840" s="12"/>
      <c r="U840" s="12"/>
      <c r="V840" s="12"/>
      <c r="W840" s="12"/>
      <c r="X840" s="12"/>
      <c r="Y840" s="12"/>
      <c r="Z840" s="12"/>
      <c r="AA840" s="12"/>
      <c r="AB840" s="12"/>
      <c r="AC840" s="12"/>
      <c r="AD840" s="12"/>
      <c r="AE840" s="12"/>
      <c r="AF840" s="12"/>
      <c r="AG840" s="12"/>
      <c r="AH840" s="12"/>
      <c r="AI840" s="12"/>
    </row>
    <row r="841" spans="1:35" s="10" customFormat="1" x14ac:dyDescent="0.35">
      <c r="A841" s="12"/>
      <c r="B841" s="12"/>
      <c r="C841" s="12"/>
      <c r="D841" s="12"/>
      <c r="E841" s="12"/>
      <c r="I841" s="14"/>
      <c r="M841" s="12"/>
      <c r="T841" s="12"/>
      <c r="U841" s="12"/>
      <c r="V841" s="12"/>
      <c r="W841" s="12"/>
      <c r="X841" s="12"/>
      <c r="Y841" s="12"/>
      <c r="Z841" s="12"/>
      <c r="AA841" s="12"/>
      <c r="AB841" s="12"/>
      <c r="AC841" s="12"/>
      <c r="AD841" s="12"/>
      <c r="AE841" s="12"/>
      <c r="AF841" s="12"/>
      <c r="AG841" s="12"/>
      <c r="AH841" s="12"/>
      <c r="AI841" s="12"/>
    </row>
    <row r="842" spans="1:35" s="10" customFormat="1" x14ac:dyDescent="0.35">
      <c r="A842" s="12"/>
      <c r="B842" s="12"/>
      <c r="C842" s="12"/>
      <c r="D842" s="12"/>
      <c r="E842" s="12"/>
      <c r="I842" s="14"/>
      <c r="M842" s="12"/>
      <c r="T842" s="12"/>
      <c r="U842" s="12"/>
      <c r="V842" s="12"/>
      <c r="W842" s="12"/>
      <c r="X842" s="12"/>
      <c r="Y842" s="12"/>
      <c r="Z842" s="12"/>
      <c r="AA842" s="12"/>
      <c r="AB842" s="12"/>
      <c r="AC842" s="12"/>
      <c r="AD842" s="12"/>
      <c r="AE842" s="12"/>
      <c r="AF842" s="12"/>
      <c r="AG842" s="12"/>
      <c r="AH842" s="12"/>
      <c r="AI842" s="12"/>
    </row>
    <row r="843" spans="1:35" s="10" customFormat="1" x14ac:dyDescent="0.35">
      <c r="A843" s="12"/>
      <c r="B843" s="12"/>
      <c r="C843" s="12"/>
      <c r="D843" s="12"/>
      <c r="E843" s="12"/>
      <c r="I843" s="14"/>
      <c r="M843" s="12"/>
      <c r="T843" s="12"/>
      <c r="U843" s="12"/>
      <c r="V843" s="12"/>
      <c r="W843" s="12"/>
      <c r="X843" s="12"/>
      <c r="Y843" s="12"/>
      <c r="Z843" s="12"/>
      <c r="AA843" s="12"/>
      <c r="AB843" s="12"/>
      <c r="AC843" s="12"/>
      <c r="AD843" s="12"/>
      <c r="AE843" s="12"/>
      <c r="AF843" s="12"/>
      <c r="AG843" s="12"/>
      <c r="AH843" s="12"/>
      <c r="AI843" s="12"/>
    </row>
    <row r="844" spans="1:35" s="10" customFormat="1" x14ac:dyDescent="0.35">
      <c r="A844" s="12"/>
      <c r="B844" s="12"/>
      <c r="C844" s="12"/>
      <c r="D844" s="12"/>
      <c r="E844" s="12"/>
      <c r="I844" s="14"/>
      <c r="M844" s="12"/>
      <c r="T844" s="12"/>
      <c r="U844" s="12"/>
      <c r="V844" s="12"/>
      <c r="W844" s="12"/>
      <c r="X844" s="12"/>
      <c r="Y844" s="12"/>
      <c r="Z844" s="12"/>
      <c r="AA844" s="12"/>
      <c r="AB844" s="12"/>
      <c r="AC844" s="12"/>
      <c r="AD844" s="12"/>
      <c r="AE844" s="12"/>
      <c r="AF844" s="12"/>
      <c r="AG844" s="12"/>
      <c r="AH844" s="12"/>
      <c r="AI844" s="12"/>
    </row>
    <row r="845" spans="1:35" s="10" customFormat="1" x14ac:dyDescent="0.35">
      <c r="A845" s="12"/>
      <c r="B845" s="12"/>
      <c r="C845" s="12"/>
      <c r="D845" s="12"/>
      <c r="E845" s="12"/>
      <c r="I845" s="14"/>
      <c r="M845" s="12"/>
      <c r="T845" s="12"/>
      <c r="U845" s="12"/>
      <c r="V845" s="12"/>
      <c r="W845" s="12"/>
      <c r="X845" s="12"/>
      <c r="Y845" s="12"/>
      <c r="Z845" s="12"/>
      <c r="AA845" s="12"/>
      <c r="AB845" s="12"/>
      <c r="AC845" s="12"/>
      <c r="AD845" s="12"/>
      <c r="AE845" s="12"/>
      <c r="AF845" s="12"/>
      <c r="AG845" s="12"/>
      <c r="AH845" s="12"/>
      <c r="AI845" s="12"/>
    </row>
    <row r="846" spans="1:35" s="10" customFormat="1" x14ac:dyDescent="0.35">
      <c r="A846" s="12"/>
      <c r="B846" s="12"/>
      <c r="C846" s="12"/>
      <c r="D846" s="12"/>
      <c r="E846" s="12"/>
      <c r="I846" s="14"/>
      <c r="M846" s="12"/>
      <c r="T846" s="12"/>
      <c r="U846" s="12"/>
      <c r="V846" s="12"/>
      <c r="W846" s="12"/>
      <c r="X846" s="12"/>
      <c r="Y846" s="12"/>
      <c r="Z846" s="12"/>
      <c r="AA846" s="12"/>
      <c r="AB846" s="12"/>
      <c r="AC846" s="12"/>
      <c r="AD846" s="12"/>
      <c r="AE846" s="12"/>
      <c r="AF846" s="12"/>
      <c r="AG846" s="12"/>
      <c r="AH846" s="12"/>
      <c r="AI846" s="12"/>
    </row>
    <row r="847" spans="1:35" s="10" customFormat="1" x14ac:dyDescent="0.35">
      <c r="A847" s="12"/>
      <c r="B847" s="12"/>
      <c r="C847" s="12"/>
      <c r="D847" s="12"/>
      <c r="E847" s="12"/>
      <c r="I847" s="14"/>
      <c r="M847" s="12"/>
      <c r="T847" s="12"/>
      <c r="U847" s="12"/>
      <c r="V847" s="12"/>
      <c r="W847" s="12"/>
      <c r="X847" s="12"/>
      <c r="Y847" s="12"/>
      <c r="Z847" s="12"/>
      <c r="AA847" s="12"/>
      <c r="AB847" s="12"/>
      <c r="AC847" s="12"/>
      <c r="AD847" s="12"/>
      <c r="AE847" s="12"/>
      <c r="AF847" s="12"/>
      <c r="AG847" s="12"/>
      <c r="AH847" s="12"/>
      <c r="AI847" s="12"/>
    </row>
    <row r="848" spans="1:35" s="10" customFormat="1" x14ac:dyDescent="0.35">
      <c r="A848" s="12"/>
      <c r="B848" s="12"/>
      <c r="C848" s="12"/>
      <c r="D848" s="12"/>
      <c r="E848" s="12"/>
      <c r="I848" s="14"/>
      <c r="M848" s="12"/>
      <c r="T848" s="12"/>
      <c r="U848" s="12"/>
      <c r="V848" s="12"/>
      <c r="W848" s="12"/>
      <c r="X848" s="12"/>
      <c r="Y848" s="12"/>
      <c r="Z848" s="12"/>
      <c r="AA848" s="12"/>
      <c r="AB848" s="12"/>
      <c r="AC848" s="12"/>
      <c r="AD848" s="12"/>
      <c r="AE848" s="12"/>
      <c r="AF848" s="12"/>
      <c r="AG848" s="12"/>
      <c r="AH848" s="12"/>
      <c r="AI848" s="12"/>
    </row>
    <row r="849" spans="1:35" s="10" customFormat="1" x14ac:dyDescent="0.35">
      <c r="A849" s="12"/>
      <c r="B849" s="12"/>
      <c r="C849" s="12"/>
      <c r="D849" s="12"/>
      <c r="E849" s="12"/>
      <c r="I849" s="14"/>
      <c r="M849" s="12"/>
      <c r="T849" s="12"/>
      <c r="U849" s="12"/>
      <c r="V849" s="12"/>
      <c r="W849" s="12"/>
      <c r="X849" s="12"/>
      <c r="Y849" s="12"/>
      <c r="Z849" s="12"/>
      <c r="AA849" s="12"/>
      <c r="AB849" s="12"/>
      <c r="AC849" s="12"/>
      <c r="AD849" s="12"/>
      <c r="AE849" s="12"/>
      <c r="AF849" s="12"/>
      <c r="AG849" s="12"/>
      <c r="AH849" s="12"/>
      <c r="AI849" s="12"/>
    </row>
    <row r="850" spans="1:35" s="10" customFormat="1" x14ac:dyDescent="0.35">
      <c r="A850" s="12"/>
      <c r="B850" s="12"/>
      <c r="C850" s="12"/>
      <c r="D850" s="12"/>
      <c r="E850" s="12"/>
      <c r="I850" s="14"/>
      <c r="M850" s="12"/>
      <c r="T850" s="12"/>
      <c r="U850" s="12"/>
      <c r="V850" s="12"/>
      <c r="W850" s="12"/>
      <c r="X850" s="12"/>
      <c r="Y850" s="12"/>
      <c r="Z850" s="12"/>
      <c r="AA850" s="12"/>
      <c r="AB850" s="12"/>
      <c r="AC850" s="12"/>
      <c r="AD850" s="12"/>
      <c r="AE850" s="12"/>
      <c r="AF850" s="12"/>
      <c r="AG850" s="12"/>
      <c r="AH850" s="12"/>
      <c r="AI850" s="12"/>
    </row>
    <row r="851" spans="1:35" s="10" customFormat="1" x14ac:dyDescent="0.35">
      <c r="A851" s="12"/>
      <c r="B851" s="12"/>
      <c r="C851" s="12"/>
      <c r="D851" s="12"/>
      <c r="E851" s="12"/>
      <c r="I851" s="14"/>
      <c r="M851" s="12"/>
      <c r="T851" s="12"/>
      <c r="U851" s="12"/>
      <c r="V851" s="12"/>
      <c r="W851" s="12"/>
      <c r="X851" s="12"/>
      <c r="Y851" s="12"/>
      <c r="Z851" s="12"/>
      <c r="AA851" s="12"/>
      <c r="AB851" s="12"/>
      <c r="AC851" s="12"/>
      <c r="AD851" s="12"/>
      <c r="AE851" s="12"/>
      <c r="AF851" s="12"/>
      <c r="AG851" s="12"/>
      <c r="AH851" s="12"/>
      <c r="AI851" s="12"/>
    </row>
    <row r="852" spans="1:35" s="10" customFormat="1" x14ac:dyDescent="0.35">
      <c r="A852" s="12"/>
      <c r="B852" s="12"/>
      <c r="C852" s="12"/>
      <c r="D852" s="12"/>
      <c r="E852" s="12"/>
      <c r="I852" s="14"/>
      <c r="M852" s="12"/>
      <c r="T852" s="12"/>
      <c r="U852" s="12"/>
      <c r="V852" s="12"/>
      <c r="W852" s="12"/>
      <c r="X852" s="12"/>
      <c r="Y852" s="12"/>
      <c r="Z852" s="12"/>
      <c r="AA852" s="12"/>
      <c r="AB852" s="12"/>
      <c r="AC852" s="12"/>
      <c r="AD852" s="12"/>
      <c r="AE852" s="12"/>
      <c r="AF852" s="12"/>
      <c r="AG852" s="12"/>
      <c r="AH852" s="12"/>
      <c r="AI852" s="12"/>
    </row>
    <row r="853" spans="1:35" s="10" customFormat="1" x14ac:dyDescent="0.35">
      <c r="A853" s="12"/>
      <c r="B853" s="12"/>
      <c r="C853" s="12"/>
      <c r="D853" s="12"/>
      <c r="E853" s="12"/>
      <c r="I853" s="14"/>
      <c r="M853" s="12"/>
      <c r="T853" s="12"/>
      <c r="U853" s="12"/>
      <c r="V853" s="12"/>
      <c r="W853" s="12"/>
      <c r="X853" s="12"/>
      <c r="Y853" s="12"/>
      <c r="Z853" s="12"/>
      <c r="AA853" s="12"/>
      <c r="AB853" s="12"/>
      <c r="AC853" s="12"/>
      <c r="AD853" s="12"/>
      <c r="AE853" s="12"/>
      <c r="AF853" s="12"/>
      <c r="AG853" s="12"/>
      <c r="AH853" s="12"/>
      <c r="AI853" s="12"/>
    </row>
    <row r="854" spans="1:35" s="10" customFormat="1" x14ac:dyDescent="0.35">
      <c r="A854" s="12"/>
      <c r="B854" s="12"/>
      <c r="C854" s="12"/>
      <c r="D854" s="12"/>
      <c r="E854" s="12"/>
      <c r="I854" s="14"/>
      <c r="M854" s="12"/>
      <c r="T854" s="12"/>
      <c r="U854" s="12"/>
      <c r="V854" s="12"/>
      <c r="W854" s="12"/>
      <c r="X854" s="12"/>
      <c r="Y854" s="12"/>
      <c r="Z854" s="12"/>
      <c r="AA854" s="12"/>
      <c r="AB854" s="12"/>
      <c r="AC854" s="12"/>
      <c r="AD854" s="12"/>
      <c r="AE854" s="12"/>
      <c r="AF854" s="12"/>
      <c r="AG854" s="12"/>
      <c r="AH854" s="12"/>
      <c r="AI854" s="12"/>
    </row>
    <row r="855" spans="1:35" s="10" customFormat="1" x14ac:dyDescent="0.35">
      <c r="A855" s="12"/>
      <c r="B855" s="12"/>
      <c r="C855" s="12"/>
      <c r="D855" s="12"/>
      <c r="E855" s="12"/>
      <c r="I855" s="14"/>
      <c r="M855" s="12"/>
      <c r="T855" s="12"/>
      <c r="U855" s="12"/>
      <c r="V855" s="12"/>
      <c r="W855" s="12"/>
      <c r="X855" s="12"/>
      <c r="Y855" s="12"/>
      <c r="Z855" s="12"/>
      <c r="AA855" s="12"/>
      <c r="AB855" s="12"/>
      <c r="AC855" s="12"/>
      <c r="AD855" s="12"/>
      <c r="AE855" s="12"/>
      <c r="AF855" s="12"/>
      <c r="AG855" s="12"/>
      <c r="AH855" s="12"/>
      <c r="AI855" s="12"/>
    </row>
    <row r="856" spans="1:35" s="10" customFormat="1" x14ac:dyDescent="0.35">
      <c r="A856" s="12"/>
      <c r="B856" s="12"/>
      <c r="C856" s="12"/>
      <c r="D856" s="12"/>
      <c r="E856" s="12"/>
      <c r="I856" s="14"/>
      <c r="M856" s="12"/>
      <c r="T856" s="12"/>
      <c r="U856" s="12"/>
      <c r="V856" s="12"/>
      <c r="W856" s="12"/>
      <c r="X856" s="12"/>
      <c r="Y856" s="12"/>
      <c r="Z856" s="12"/>
      <c r="AA856" s="12"/>
      <c r="AB856" s="12"/>
      <c r="AC856" s="12"/>
      <c r="AD856" s="12"/>
      <c r="AE856" s="12"/>
      <c r="AF856" s="12"/>
      <c r="AG856" s="12"/>
      <c r="AH856" s="12"/>
      <c r="AI856" s="12"/>
    </row>
    <row r="857" spans="1:35" s="10" customFormat="1" x14ac:dyDescent="0.35">
      <c r="A857" s="12"/>
      <c r="B857" s="12"/>
      <c r="C857" s="12"/>
      <c r="D857" s="12"/>
      <c r="E857" s="12"/>
      <c r="I857" s="14"/>
      <c r="M857" s="12"/>
      <c r="T857" s="12"/>
      <c r="U857" s="12"/>
      <c r="V857" s="12"/>
      <c r="W857" s="12"/>
      <c r="X857" s="12"/>
      <c r="Y857" s="12"/>
      <c r="Z857" s="12"/>
      <c r="AA857" s="12"/>
      <c r="AB857" s="12"/>
      <c r="AC857" s="12"/>
      <c r="AD857" s="12"/>
      <c r="AE857" s="12"/>
      <c r="AF857" s="12"/>
      <c r="AG857" s="12"/>
      <c r="AH857" s="12"/>
      <c r="AI857" s="12"/>
    </row>
    <row r="858" spans="1:35" s="10" customFormat="1" x14ac:dyDescent="0.35">
      <c r="A858" s="12"/>
      <c r="B858" s="12"/>
      <c r="C858" s="12"/>
      <c r="D858" s="12"/>
      <c r="E858" s="12"/>
      <c r="I858" s="14"/>
      <c r="M858" s="12"/>
      <c r="T858" s="12"/>
      <c r="U858" s="12"/>
      <c r="V858" s="12"/>
      <c r="W858" s="12"/>
      <c r="X858" s="12"/>
      <c r="Y858" s="12"/>
      <c r="Z858" s="12"/>
      <c r="AA858" s="12"/>
      <c r="AB858" s="12"/>
      <c r="AC858" s="12"/>
      <c r="AD858" s="12"/>
      <c r="AE858" s="12"/>
      <c r="AF858" s="12"/>
      <c r="AG858" s="12"/>
      <c r="AH858" s="12"/>
      <c r="AI858" s="12"/>
    </row>
    <row r="859" spans="1:35" s="10" customFormat="1" x14ac:dyDescent="0.35">
      <c r="A859" s="12"/>
      <c r="B859" s="12"/>
      <c r="C859" s="12"/>
      <c r="D859" s="12"/>
      <c r="E859" s="12"/>
      <c r="I859" s="14"/>
      <c r="M859" s="12"/>
      <c r="T859" s="12"/>
      <c r="U859" s="12"/>
      <c r="V859" s="12"/>
      <c r="W859" s="12"/>
      <c r="X859" s="12"/>
      <c r="Y859" s="12"/>
      <c r="Z859" s="12"/>
      <c r="AA859" s="12"/>
      <c r="AB859" s="12"/>
      <c r="AC859" s="12"/>
      <c r="AD859" s="12"/>
      <c r="AE859" s="12"/>
      <c r="AF859" s="12"/>
      <c r="AG859" s="12"/>
      <c r="AH859" s="12"/>
      <c r="AI859" s="12"/>
    </row>
    <row r="860" spans="1:35" s="10" customFormat="1" x14ac:dyDescent="0.35">
      <c r="A860" s="12"/>
      <c r="B860" s="12"/>
      <c r="C860" s="12"/>
      <c r="D860" s="12"/>
      <c r="E860" s="12"/>
      <c r="I860" s="14"/>
      <c r="M860" s="12"/>
      <c r="T860" s="12"/>
      <c r="U860" s="12"/>
      <c r="V860" s="12"/>
      <c r="W860" s="12"/>
      <c r="X860" s="12"/>
      <c r="Y860" s="12"/>
      <c r="Z860" s="12"/>
      <c r="AA860" s="12"/>
      <c r="AB860" s="12"/>
      <c r="AC860" s="12"/>
      <c r="AD860" s="12"/>
      <c r="AE860" s="12"/>
      <c r="AF860" s="12"/>
      <c r="AG860" s="12"/>
      <c r="AH860" s="12"/>
      <c r="AI860" s="12"/>
    </row>
    <row r="861" spans="1:35" s="10" customFormat="1" x14ac:dyDescent="0.35">
      <c r="A861" s="12"/>
      <c r="B861" s="12"/>
      <c r="C861" s="12"/>
      <c r="D861" s="12"/>
      <c r="E861" s="12"/>
      <c r="I861" s="14"/>
      <c r="M861" s="12"/>
      <c r="T861" s="12"/>
      <c r="U861" s="12"/>
      <c r="V861" s="12"/>
      <c r="W861" s="12"/>
      <c r="X861" s="12"/>
      <c r="Y861" s="12"/>
      <c r="Z861" s="12"/>
      <c r="AA861" s="12"/>
      <c r="AB861" s="12"/>
      <c r="AC861" s="12"/>
      <c r="AD861" s="12"/>
      <c r="AE861" s="12"/>
      <c r="AF861" s="12"/>
      <c r="AG861" s="12"/>
      <c r="AH861" s="12"/>
      <c r="AI861" s="12"/>
    </row>
    <row r="862" spans="1:35" s="10" customFormat="1" x14ac:dyDescent="0.35">
      <c r="A862" s="12"/>
      <c r="B862" s="12"/>
      <c r="C862" s="12"/>
      <c r="D862" s="12"/>
      <c r="E862" s="12"/>
      <c r="I862" s="14"/>
      <c r="M862" s="12"/>
      <c r="T862" s="12"/>
      <c r="U862" s="12"/>
      <c r="V862" s="12"/>
      <c r="W862" s="12"/>
      <c r="X862" s="12"/>
      <c r="Y862" s="12"/>
      <c r="Z862" s="12"/>
      <c r="AA862" s="12"/>
      <c r="AB862" s="12"/>
      <c r="AC862" s="12"/>
      <c r="AD862" s="12"/>
      <c r="AE862" s="12"/>
      <c r="AF862" s="12"/>
      <c r="AG862" s="12"/>
      <c r="AH862" s="12"/>
      <c r="AI862" s="12"/>
    </row>
    <row r="863" spans="1:35" s="10" customFormat="1" x14ac:dyDescent="0.35">
      <c r="A863" s="12"/>
      <c r="B863" s="12"/>
      <c r="C863" s="12"/>
      <c r="D863" s="12"/>
      <c r="E863" s="12"/>
      <c r="I863" s="14"/>
      <c r="M863" s="12"/>
      <c r="T863" s="12"/>
      <c r="U863" s="12"/>
      <c r="V863" s="12"/>
      <c r="W863" s="12"/>
      <c r="X863" s="12"/>
      <c r="Y863" s="12"/>
      <c r="Z863" s="12"/>
      <c r="AA863" s="12"/>
      <c r="AB863" s="12"/>
      <c r="AC863" s="12"/>
      <c r="AD863" s="12"/>
      <c r="AE863" s="12"/>
      <c r="AF863" s="12"/>
      <c r="AG863" s="12"/>
      <c r="AH863" s="12"/>
      <c r="AI863" s="12"/>
    </row>
    <row r="864" spans="1:35" s="10" customFormat="1" x14ac:dyDescent="0.35">
      <c r="A864" s="12"/>
      <c r="B864" s="12"/>
      <c r="C864" s="12"/>
      <c r="D864" s="12"/>
      <c r="E864" s="12"/>
      <c r="I864" s="14"/>
      <c r="M864" s="12"/>
      <c r="T864" s="12"/>
      <c r="U864" s="12"/>
      <c r="V864" s="12"/>
      <c r="W864" s="12"/>
      <c r="X864" s="12"/>
      <c r="Y864" s="12"/>
      <c r="Z864" s="12"/>
      <c r="AA864" s="12"/>
      <c r="AB864" s="12"/>
      <c r="AC864" s="12"/>
      <c r="AD864" s="12"/>
      <c r="AE864" s="12"/>
      <c r="AF864" s="12"/>
      <c r="AG864" s="12"/>
      <c r="AH864" s="12"/>
      <c r="AI864" s="12"/>
    </row>
    <row r="865" spans="1:35" s="10" customFormat="1" x14ac:dyDescent="0.35">
      <c r="A865" s="12"/>
      <c r="B865" s="12"/>
      <c r="C865" s="12"/>
      <c r="D865" s="12"/>
      <c r="E865" s="12"/>
      <c r="I865" s="14"/>
      <c r="M865" s="12"/>
      <c r="T865" s="12"/>
      <c r="U865" s="12"/>
      <c r="V865" s="12"/>
      <c r="W865" s="12"/>
      <c r="X865" s="12"/>
      <c r="Y865" s="12"/>
      <c r="Z865" s="12"/>
      <c r="AA865" s="12"/>
      <c r="AB865" s="12"/>
      <c r="AC865" s="12"/>
      <c r="AD865" s="12"/>
      <c r="AE865" s="12"/>
      <c r="AF865" s="12"/>
      <c r="AG865" s="12"/>
      <c r="AH865" s="12"/>
      <c r="AI865" s="12"/>
    </row>
    <row r="866" spans="1:35" s="10" customFormat="1" x14ac:dyDescent="0.35">
      <c r="A866" s="12"/>
      <c r="B866" s="12"/>
      <c r="C866" s="12"/>
      <c r="D866" s="12"/>
      <c r="E866" s="12"/>
      <c r="I866" s="14"/>
      <c r="M866" s="12"/>
      <c r="T866" s="12"/>
      <c r="U866" s="12"/>
      <c r="V866" s="12"/>
      <c r="W866" s="12"/>
      <c r="X866" s="12"/>
      <c r="Y866" s="12"/>
      <c r="Z866" s="12"/>
      <c r="AA866" s="12"/>
      <c r="AB866" s="12"/>
      <c r="AC866" s="12"/>
      <c r="AD866" s="12"/>
      <c r="AE866" s="12"/>
      <c r="AF866" s="12"/>
      <c r="AG866" s="12"/>
      <c r="AH866" s="12"/>
      <c r="AI866" s="12"/>
    </row>
    <row r="867" spans="1:35" s="10" customFormat="1" x14ac:dyDescent="0.35">
      <c r="A867" s="12"/>
      <c r="B867" s="12"/>
      <c r="C867" s="12"/>
      <c r="D867" s="12"/>
      <c r="E867" s="12"/>
      <c r="I867" s="14"/>
      <c r="M867" s="12"/>
      <c r="T867" s="12"/>
      <c r="U867" s="12"/>
      <c r="V867" s="12"/>
      <c r="W867" s="12"/>
      <c r="X867" s="12"/>
      <c r="Y867" s="12"/>
      <c r="Z867" s="12"/>
      <c r="AA867" s="12"/>
      <c r="AB867" s="12"/>
      <c r="AC867" s="12"/>
      <c r="AD867" s="12"/>
      <c r="AE867" s="12"/>
      <c r="AF867" s="12"/>
      <c r="AG867" s="12"/>
      <c r="AH867" s="12"/>
      <c r="AI867" s="12"/>
    </row>
    <row r="868" spans="1:35" s="10" customFormat="1" x14ac:dyDescent="0.35">
      <c r="A868" s="12"/>
      <c r="B868" s="12"/>
      <c r="C868" s="12"/>
      <c r="D868" s="12"/>
      <c r="E868" s="12"/>
      <c r="I868" s="14"/>
      <c r="M868" s="12"/>
      <c r="T868" s="12"/>
      <c r="U868" s="12"/>
      <c r="V868" s="12"/>
      <c r="W868" s="12"/>
      <c r="X868" s="12"/>
      <c r="Y868" s="12"/>
      <c r="Z868" s="12"/>
      <c r="AA868" s="12"/>
      <c r="AB868" s="12"/>
      <c r="AC868" s="12"/>
      <c r="AD868" s="12"/>
      <c r="AE868" s="12"/>
      <c r="AF868" s="12"/>
      <c r="AG868" s="12"/>
      <c r="AH868" s="12"/>
      <c r="AI868" s="12"/>
    </row>
    <row r="869" spans="1:35" s="10" customFormat="1" x14ac:dyDescent="0.35">
      <c r="A869" s="12"/>
      <c r="B869" s="12"/>
      <c r="C869" s="12"/>
      <c r="D869" s="12"/>
      <c r="E869" s="12"/>
      <c r="I869" s="14"/>
      <c r="M869" s="12"/>
      <c r="T869" s="12"/>
      <c r="U869" s="12"/>
      <c r="V869" s="12"/>
      <c r="W869" s="12"/>
      <c r="X869" s="12"/>
      <c r="Y869" s="12"/>
      <c r="Z869" s="12"/>
      <c r="AA869" s="12"/>
      <c r="AB869" s="12"/>
      <c r="AC869" s="12"/>
      <c r="AD869" s="12"/>
      <c r="AE869" s="12"/>
      <c r="AF869" s="12"/>
      <c r="AG869" s="12"/>
      <c r="AH869" s="12"/>
      <c r="AI869" s="12"/>
    </row>
    <row r="873" spans="1:35" s="10" customFormat="1" x14ac:dyDescent="0.35">
      <c r="A873" s="12"/>
      <c r="B873" s="12"/>
      <c r="C873" s="12"/>
      <c r="D873" s="12"/>
      <c r="E873" s="12"/>
      <c r="I873" s="14"/>
      <c r="M873" s="12"/>
      <c r="T873" s="12"/>
      <c r="U873" s="12"/>
      <c r="V873" s="12"/>
      <c r="W873" s="12"/>
      <c r="X873" s="12"/>
      <c r="Y873" s="12"/>
      <c r="Z873" s="12"/>
      <c r="AA873" s="12"/>
      <c r="AB873" s="12"/>
      <c r="AC873" s="12"/>
      <c r="AD873" s="12"/>
      <c r="AE873" s="12"/>
      <c r="AF873" s="12"/>
      <c r="AG873" s="12"/>
      <c r="AH873" s="12"/>
      <c r="AI873" s="12"/>
    </row>
    <row r="874" spans="1:35" s="10" customFormat="1" x14ac:dyDescent="0.35">
      <c r="A874" s="12"/>
      <c r="B874" s="12"/>
      <c r="C874" s="12"/>
      <c r="D874" s="12"/>
      <c r="E874" s="12"/>
      <c r="I874" s="14"/>
      <c r="M874" s="12"/>
      <c r="T874" s="12"/>
      <c r="U874" s="12"/>
      <c r="V874" s="12"/>
      <c r="W874" s="12"/>
      <c r="X874" s="12"/>
      <c r="Y874" s="12"/>
      <c r="Z874" s="12"/>
      <c r="AA874" s="12"/>
      <c r="AB874" s="12"/>
      <c r="AC874" s="12"/>
      <c r="AD874" s="12"/>
      <c r="AE874" s="12"/>
      <c r="AF874" s="12"/>
      <c r="AG874" s="12"/>
      <c r="AH874" s="12"/>
      <c r="AI874" s="12"/>
    </row>
    <row r="875" spans="1:35" s="10" customFormat="1" x14ac:dyDescent="0.35">
      <c r="A875" s="12"/>
      <c r="B875" s="12"/>
      <c r="C875" s="12"/>
      <c r="D875" s="12"/>
      <c r="E875" s="12"/>
      <c r="I875" s="14"/>
      <c r="M875" s="12"/>
      <c r="T875" s="12"/>
      <c r="U875" s="12"/>
      <c r="V875" s="12"/>
      <c r="W875" s="12"/>
      <c r="X875" s="12"/>
      <c r="Y875" s="12"/>
      <c r="Z875" s="12"/>
      <c r="AA875" s="12"/>
      <c r="AB875" s="12"/>
      <c r="AC875" s="12"/>
      <c r="AD875" s="12"/>
      <c r="AE875" s="12"/>
      <c r="AF875" s="12"/>
      <c r="AG875" s="12"/>
      <c r="AH875" s="12"/>
      <c r="AI875" s="12"/>
    </row>
    <row r="876" spans="1:35" s="10" customFormat="1" x14ac:dyDescent="0.35">
      <c r="A876" s="12"/>
      <c r="B876" s="12"/>
      <c r="C876" s="12"/>
      <c r="D876" s="12"/>
      <c r="E876" s="12"/>
      <c r="I876" s="14"/>
      <c r="M876" s="12"/>
      <c r="T876" s="12"/>
      <c r="U876" s="12"/>
      <c r="V876" s="12"/>
      <c r="W876" s="12"/>
      <c r="X876" s="12"/>
      <c r="Y876" s="12"/>
      <c r="Z876" s="12"/>
      <c r="AA876" s="12"/>
      <c r="AB876" s="12"/>
      <c r="AC876" s="12"/>
      <c r="AD876" s="12"/>
      <c r="AE876" s="12"/>
      <c r="AF876" s="12"/>
      <c r="AG876" s="12"/>
      <c r="AH876" s="12"/>
      <c r="AI876" s="12"/>
    </row>
    <row r="877" spans="1:35" s="10" customFormat="1" x14ac:dyDescent="0.35">
      <c r="A877" s="12"/>
      <c r="B877" s="12"/>
      <c r="C877" s="12"/>
      <c r="D877" s="12"/>
      <c r="E877" s="12"/>
      <c r="I877" s="14"/>
      <c r="M877" s="12"/>
      <c r="T877" s="12"/>
      <c r="U877" s="12"/>
      <c r="V877" s="12"/>
      <c r="W877" s="12"/>
      <c r="X877" s="12"/>
      <c r="Y877" s="12"/>
      <c r="Z877" s="12"/>
      <c r="AA877" s="12"/>
      <c r="AB877" s="12"/>
      <c r="AC877" s="12"/>
      <c r="AD877" s="12"/>
      <c r="AE877" s="12"/>
      <c r="AF877" s="12"/>
      <c r="AG877" s="12"/>
      <c r="AH877" s="12"/>
      <c r="AI877" s="12"/>
    </row>
    <row r="878" spans="1:35" s="10" customFormat="1" x14ac:dyDescent="0.35">
      <c r="A878" s="12"/>
      <c r="B878" s="12"/>
      <c r="C878" s="12"/>
      <c r="D878" s="12"/>
      <c r="E878" s="12"/>
      <c r="I878" s="14"/>
      <c r="M878" s="12"/>
      <c r="T878" s="12"/>
      <c r="U878" s="12"/>
      <c r="V878" s="12"/>
      <c r="W878" s="12"/>
      <c r="X878" s="12"/>
      <c r="Y878" s="12"/>
      <c r="Z878" s="12"/>
      <c r="AA878" s="12"/>
      <c r="AB878" s="12"/>
      <c r="AC878" s="12"/>
      <c r="AD878" s="12"/>
      <c r="AE878" s="12"/>
      <c r="AF878" s="12"/>
      <c r="AG878" s="12"/>
      <c r="AH878" s="12"/>
      <c r="AI878" s="12"/>
    </row>
    <row r="879" spans="1:35" s="10" customFormat="1" x14ac:dyDescent="0.35">
      <c r="A879" s="12"/>
      <c r="B879" s="12"/>
      <c r="C879" s="12"/>
      <c r="D879" s="12"/>
      <c r="E879" s="12"/>
      <c r="I879" s="14"/>
      <c r="M879" s="12"/>
      <c r="T879" s="12"/>
      <c r="U879" s="12"/>
      <c r="V879" s="12"/>
      <c r="W879" s="12"/>
      <c r="X879" s="12"/>
      <c r="Y879" s="12"/>
      <c r="Z879" s="12"/>
      <c r="AA879" s="12"/>
      <c r="AB879" s="12"/>
      <c r="AC879" s="12"/>
      <c r="AD879" s="12"/>
      <c r="AE879" s="12"/>
      <c r="AF879" s="12"/>
      <c r="AG879" s="12"/>
      <c r="AH879" s="12"/>
      <c r="AI879" s="12"/>
    </row>
    <row r="880" spans="1:35" s="10" customFormat="1" x14ac:dyDescent="0.35">
      <c r="A880" s="12"/>
      <c r="B880" s="12"/>
      <c r="C880" s="12"/>
      <c r="D880" s="12"/>
      <c r="E880" s="12"/>
      <c r="I880" s="14"/>
      <c r="M880" s="12"/>
      <c r="T880" s="12"/>
      <c r="U880" s="12"/>
      <c r="V880" s="12"/>
      <c r="W880" s="12"/>
      <c r="X880" s="12"/>
      <c r="Y880" s="12"/>
      <c r="Z880" s="12"/>
      <c r="AA880" s="12"/>
      <c r="AB880" s="12"/>
      <c r="AC880" s="12"/>
      <c r="AD880" s="12"/>
      <c r="AE880" s="12"/>
      <c r="AF880" s="12"/>
      <c r="AG880" s="12"/>
      <c r="AH880" s="12"/>
      <c r="AI880" s="12"/>
    </row>
    <row r="881" spans="1:35" s="10" customFormat="1" x14ac:dyDescent="0.35">
      <c r="A881" s="12"/>
      <c r="B881" s="12"/>
      <c r="C881" s="12"/>
      <c r="D881" s="12"/>
      <c r="E881" s="12"/>
      <c r="I881" s="14"/>
      <c r="M881" s="12"/>
      <c r="T881" s="12"/>
      <c r="U881" s="12"/>
      <c r="V881" s="12"/>
      <c r="W881" s="12"/>
      <c r="X881" s="12"/>
      <c r="Y881" s="12"/>
      <c r="Z881" s="12"/>
      <c r="AA881" s="12"/>
      <c r="AB881" s="12"/>
      <c r="AC881" s="12"/>
      <c r="AD881" s="12"/>
      <c r="AE881" s="12"/>
      <c r="AF881" s="12"/>
      <c r="AG881" s="12"/>
      <c r="AH881" s="12"/>
      <c r="AI881" s="12"/>
    </row>
    <row r="882" spans="1:35" s="10" customFormat="1" x14ac:dyDescent="0.35">
      <c r="A882" s="12"/>
      <c r="B882" s="12"/>
      <c r="C882" s="12"/>
      <c r="D882" s="12"/>
      <c r="E882" s="12"/>
      <c r="I882" s="14"/>
      <c r="M882" s="12"/>
      <c r="T882" s="12"/>
      <c r="U882" s="12"/>
      <c r="V882" s="12"/>
      <c r="W882" s="12"/>
      <c r="X882" s="12"/>
      <c r="Y882" s="12"/>
      <c r="Z882" s="12"/>
      <c r="AA882" s="12"/>
      <c r="AB882" s="12"/>
      <c r="AC882" s="12"/>
      <c r="AD882" s="12"/>
      <c r="AE882" s="12"/>
      <c r="AF882" s="12"/>
      <c r="AG882" s="12"/>
      <c r="AH882" s="12"/>
      <c r="AI882" s="12"/>
    </row>
    <row r="883" spans="1:35" s="10" customFormat="1" x14ac:dyDescent="0.35">
      <c r="A883" s="12"/>
      <c r="B883" s="12"/>
      <c r="C883" s="12"/>
      <c r="D883" s="12"/>
      <c r="E883" s="12"/>
      <c r="I883" s="14"/>
      <c r="M883" s="12"/>
      <c r="T883" s="12"/>
      <c r="U883" s="12"/>
      <c r="V883" s="12"/>
      <c r="W883" s="12"/>
      <c r="X883" s="12"/>
      <c r="Y883" s="12"/>
      <c r="Z883" s="12"/>
      <c r="AA883" s="12"/>
      <c r="AB883" s="12"/>
      <c r="AC883" s="12"/>
      <c r="AD883" s="12"/>
      <c r="AE883" s="12"/>
      <c r="AF883" s="12"/>
      <c r="AG883" s="12"/>
      <c r="AH883" s="12"/>
      <c r="AI883" s="12"/>
    </row>
    <row r="884" spans="1:35" s="10" customFormat="1" x14ac:dyDescent="0.35">
      <c r="A884" s="12"/>
      <c r="B884" s="12"/>
      <c r="C884" s="12"/>
      <c r="D884" s="12"/>
      <c r="E884" s="12"/>
      <c r="I884" s="14"/>
      <c r="M884" s="12"/>
      <c r="T884" s="12"/>
      <c r="U884" s="12"/>
      <c r="V884" s="12"/>
      <c r="W884" s="12"/>
      <c r="X884" s="12"/>
      <c r="Y884" s="12"/>
      <c r="Z884" s="12"/>
      <c r="AA884" s="12"/>
      <c r="AB884" s="12"/>
      <c r="AC884" s="12"/>
      <c r="AD884" s="12"/>
      <c r="AE884" s="12"/>
      <c r="AF884" s="12"/>
      <c r="AG884" s="12"/>
      <c r="AH884" s="12"/>
      <c r="AI884" s="12"/>
    </row>
    <row r="885" spans="1:35" s="10" customFormat="1" x14ac:dyDescent="0.35">
      <c r="A885" s="12"/>
      <c r="B885" s="12"/>
      <c r="C885" s="12"/>
      <c r="D885" s="12"/>
      <c r="E885" s="12"/>
      <c r="I885" s="14"/>
      <c r="M885" s="12"/>
      <c r="T885" s="12"/>
      <c r="U885" s="12"/>
      <c r="V885" s="12"/>
      <c r="W885" s="12"/>
      <c r="X885" s="12"/>
      <c r="Y885" s="12"/>
      <c r="Z885" s="12"/>
      <c r="AA885" s="12"/>
      <c r="AB885" s="12"/>
      <c r="AC885" s="12"/>
      <c r="AD885" s="12"/>
      <c r="AE885" s="12"/>
      <c r="AF885" s="12"/>
      <c r="AG885" s="12"/>
      <c r="AH885" s="12"/>
      <c r="AI885" s="12"/>
    </row>
    <row r="886" spans="1:35" s="10" customFormat="1" x14ac:dyDescent="0.35">
      <c r="A886" s="12"/>
      <c r="B886" s="12"/>
      <c r="C886" s="12"/>
      <c r="D886" s="12"/>
      <c r="E886" s="12"/>
      <c r="I886" s="14"/>
      <c r="M886" s="12"/>
      <c r="T886" s="12"/>
      <c r="U886" s="12"/>
      <c r="V886" s="12"/>
      <c r="W886" s="12"/>
      <c r="X886" s="12"/>
      <c r="Y886" s="12"/>
      <c r="Z886" s="12"/>
      <c r="AA886" s="12"/>
      <c r="AB886" s="12"/>
      <c r="AC886" s="12"/>
      <c r="AD886" s="12"/>
      <c r="AE886" s="12"/>
      <c r="AF886" s="12"/>
      <c r="AG886" s="12"/>
      <c r="AH886" s="12"/>
      <c r="AI886" s="12"/>
    </row>
    <row r="887" spans="1:35" s="10" customFormat="1" x14ac:dyDescent="0.35">
      <c r="A887" s="12"/>
      <c r="B887" s="12"/>
      <c r="C887" s="12"/>
      <c r="D887" s="12"/>
      <c r="E887" s="12"/>
      <c r="I887" s="14"/>
      <c r="M887" s="12"/>
      <c r="T887" s="12"/>
      <c r="U887" s="12"/>
      <c r="V887" s="12"/>
      <c r="W887" s="12"/>
      <c r="X887" s="12"/>
      <c r="Y887" s="12"/>
      <c r="Z887" s="12"/>
      <c r="AA887" s="12"/>
      <c r="AB887" s="12"/>
      <c r="AC887" s="12"/>
      <c r="AD887" s="12"/>
      <c r="AE887" s="12"/>
      <c r="AF887" s="12"/>
      <c r="AG887" s="12"/>
      <c r="AH887" s="12"/>
      <c r="AI887" s="12"/>
    </row>
    <row r="888" spans="1:35" s="10" customFormat="1" x14ac:dyDescent="0.35">
      <c r="A888" s="12"/>
      <c r="B888" s="12"/>
      <c r="C888" s="12"/>
      <c r="D888" s="12"/>
      <c r="E888" s="12"/>
      <c r="I888" s="14"/>
      <c r="M888" s="12"/>
      <c r="T888" s="12"/>
      <c r="U888" s="12"/>
      <c r="V888" s="12"/>
      <c r="W888" s="12"/>
      <c r="X888" s="12"/>
      <c r="Y888" s="12"/>
      <c r="Z888" s="12"/>
      <c r="AA888" s="12"/>
      <c r="AB888" s="12"/>
      <c r="AC888" s="12"/>
      <c r="AD888" s="12"/>
      <c r="AE888" s="12"/>
      <c r="AF888" s="12"/>
      <c r="AG888" s="12"/>
      <c r="AH888" s="12"/>
      <c r="AI888" s="12"/>
    </row>
    <row r="889" spans="1:35" s="10" customFormat="1" x14ac:dyDescent="0.35">
      <c r="A889" s="12"/>
      <c r="B889" s="12"/>
      <c r="C889" s="12"/>
      <c r="D889" s="12"/>
      <c r="E889" s="12"/>
      <c r="I889" s="14"/>
      <c r="M889" s="12"/>
      <c r="T889" s="12"/>
      <c r="U889" s="12"/>
      <c r="V889" s="12"/>
      <c r="W889" s="12"/>
      <c r="X889" s="12"/>
      <c r="Y889" s="12"/>
      <c r="Z889" s="12"/>
      <c r="AA889" s="12"/>
      <c r="AB889" s="12"/>
      <c r="AC889" s="12"/>
      <c r="AD889" s="12"/>
      <c r="AE889" s="12"/>
      <c r="AF889" s="12"/>
      <c r="AG889" s="12"/>
      <c r="AH889" s="12"/>
      <c r="AI889" s="12"/>
    </row>
    <row r="890" spans="1:35" s="10" customFormat="1" x14ac:dyDescent="0.35">
      <c r="A890" s="12"/>
      <c r="B890" s="12"/>
      <c r="C890" s="12"/>
      <c r="D890" s="12"/>
      <c r="E890" s="12"/>
      <c r="I890" s="14"/>
      <c r="M890" s="12"/>
      <c r="T890" s="12"/>
      <c r="U890" s="12"/>
      <c r="V890" s="12"/>
      <c r="W890" s="12"/>
      <c r="X890" s="12"/>
      <c r="Y890" s="12"/>
      <c r="Z890" s="12"/>
      <c r="AA890" s="12"/>
      <c r="AB890" s="12"/>
      <c r="AC890" s="12"/>
      <c r="AD890" s="12"/>
      <c r="AE890" s="12"/>
      <c r="AF890" s="12"/>
      <c r="AG890" s="12"/>
      <c r="AH890" s="12"/>
      <c r="AI890" s="12"/>
    </row>
    <row r="891" spans="1:35" s="10" customFormat="1" x14ac:dyDescent="0.35">
      <c r="A891" s="12"/>
      <c r="B891" s="12"/>
      <c r="C891" s="12"/>
      <c r="D891" s="12"/>
      <c r="E891" s="12"/>
      <c r="I891" s="14"/>
      <c r="M891" s="12"/>
      <c r="T891" s="12"/>
      <c r="U891" s="12"/>
      <c r="V891" s="12"/>
      <c r="W891" s="12"/>
      <c r="X891" s="12"/>
      <c r="Y891" s="12"/>
      <c r="Z891" s="12"/>
      <c r="AA891" s="12"/>
      <c r="AB891" s="12"/>
      <c r="AC891" s="12"/>
      <c r="AD891" s="12"/>
      <c r="AE891" s="12"/>
      <c r="AF891" s="12"/>
      <c r="AG891" s="12"/>
      <c r="AH891" s="12"/>
      <c r="AI891" s="12"/>
    </row>
    <row r="892" spans="1:35" s="10" customFormat="1" x14ac:dyDescent="0.35">
      <c r="A892" s="12"/>
      <c r="B892" s="12"/>
      <c r="C892" s="12"/>
      <c r="D892" s="12"/>
      <c r="E892" s="12"/>
      <c r="I892" s="14"/>
      <c r="M892" s="12"/>
      <c r="T892" s="12"/>
      <c r="U892" s="12"/>
      <c r="V892" s="12"/>
      <c r="W892" s="12"/>
      <c r="X892" s="12"/>
      <c r="Y892" s="12"/>
      <c r="Z892" s="12"/>
      <c r="AA892" s="12"/>
      <c r="AB892" s="12"/>
      <c r="AC892" s="12"/>
      <c r="AD892" s="12"/>
      <c r="AE892" s="12"/>
      <c r="AF892" s="12"/>
      <c r="AG892" s="12"/>
      <c r="AH892" s="12"/>
      <c r="AI892" s="12"/>
    </row>
    <row r="893" spans="1:35" s="10" customFormat="1" x14ac:dyDescent="0.35">
      <c r="A893" s="12"/>
      <c r="B893" s="12"/>
      <c r="C893" s="12"/>
      <c r="D893" s="12"/>
      <c r="E893" s="12"/>
      <c r="I893" s="14"/>
      <c r="M893" s="12"/>
      <c r="T893" s="12"/>
      <c r="U893" s="12"/>
      <c r="V893" s="12"/>
      <c r="W893" s="12"/>
      <c r="X893" s="12"/>
      <c r="Y893" s="12"/>
      <c r="Z893" s="12"/>
      <c r="AA893" s="12"/>
      <c r="AB893" s="12"/>
      <c r="AC893" s="12"/>
      <c r="AD893" s="12"/>
      <c r="AE893" s="12"/>
      <c r="AF893" s="12"/>
      <c r="AG893" s="12"/>
      <c r="AH893" s="12"/>
      <c r="AI893" s="12"/>
    </row>
    <row r="894" spans="1:35" s="10" customFormat="1" x14ac:dyDescent="0.35">
      <c r="A894" s="12"/>
      <c r="B894" s="12"/>
      <c r="C894" s="12"/>
      <c r="D894" s="12"/>
      <c r="E894" s="12"/>
      <c r="I894" s="14"/>
      <c r="M894" s="12"/>
      <c r="T894" s="12"/>
      <c r="U894" s="12"/>
      <c r="V894" s="12"/>
      <c r="W894" s="12"/>
      <c r="X894" s="12"/>
      <c r="Y894" s="12"/>
      <c r="Z894" s="12"/>
      <c r="AA894" s="12"/>
      <c r="AB894" s="12"/>
      <c r="AC894" s="12"/>
      <c r="AD894" s="12"/>
      <c r="AE894" s="12"/>
      <c r="AF894" s="12"/>
      <c r="AG894" s="12"/>
      <c r="AH894" s="12"/>
      <c r="AI894" s="12"/>
    </row>
    <row r="895" spans="1:35" s="10" customFormat="1" x14ac:dyDescent="0.35">
      <c r="A895" s="12"/>
      <c r="B895" s="12"/>
      <c r="C895" s="12"/>
      <c r="D895" s="12"/>
      <c r="E895" s="12"/>
      <c r="I895" s="14"/>
      <c r="M895" s="12"/>
      <c r="T895" s="12"/>
      <c r="U895" s="12"/>
      <c r="V895" s="12"/>
      <c r="W895" s="12"/>
      <c r="X895" s="12"/>
      <c r="Y895" s="12"/>
      <c r="Z895" s="12"/>
      <c r="AA895" s="12"/>
      <c r="AB895" s="12"/>
      <c r="AC895" s="12"/>
      <c r="AD895" s="12"/>
      <c r="AE895" s="12"/>
      <c r="AF895" s="12"/>
      <c r="AG895" s="12"/>
      <c r="AH895" s="12"/>
      <c r="AI895" s="12"/>
    </row>
    <row r="896" spans="1:35" s="10" customFormat="1" x14ac:dyDescent="0.35">
      <c r="A896" s="12"/>
      <c r="B896" s="12"/>
      <c r="C896" s="12"/>
      <c r="D896" s="12"/>
      <c r="E896" s="12"/>
      <c r="I896" s="14"/>
      <c r="M896" s="12"/>
      <c r="T896" s="12"/>
      <c r="U896" s="12"/>
      <c r="V896" s="12"/>
      <c r="W896" s="12"/>
      <c r="X896" s="12"/>
      <c r="Y896" s="12"/>
      <c r="Z896" s="12"/>
      <c r="AA896" s="12"/>
      <c r="AB896" s="12"/>
      <c r="AC896" s="12"/>
      <c r="AD896" s="12"/>
      <c r="AE896" s="12"/>
      <c r="AF896" s="12"/>
      <c r="AG896" s="12"/>
      <c r="AH896" s="12"/>
      <c r="AI896" s="12"/>
    </row>
    <row r="897" spans="1:35" s="10" customFormat="1" x14ac:dyDescent="0.35">
      <c r="A897" s="12"/>
      <c r="B897" s="12"/>
      <c r="C897" s="12"/>
      <c r="D897" s="12"/>
      <c r="E897" s="12"/>
      <c r="I897" s="14"/>
      <c r="M897" s="12"/>
      <c r="T897" s="12"/>
      <c r="U897" s="12"/>
      <c r="V897" s="12"/>
      <c r="W897" s="12"/>
      <c r="X897" s="12"/>
      <c r="Y897" s="12"/>
      <c r="Z897" s="12"/>
      <c r="AA897" s="12"/>
      <c r="AB897" s="12"/>
      <c r="AC897" s="12"/>
      <c r="AD897" s="12"/>
      <c r="AE897" s="12"/>
      <c r="AF897" s="12"/>
      <c r="AG897" s="12"/>
      <c r="AH897" s="12"/>
      <c r="AI897" s="12"/>
    </row>
    <row r="898" spans="1:35" s="10" customFormat="1" x14ac:dyDescent="0.35">
      <c r="A898" s="12"/>
      <c r="B898" s="12"/>
      <c r="C898" s="12"/>
      <c r="D898" s="12"/>
      <c r="E898" s="12"/>
      <c r="I898" s="14"/>
      <c r="M898" s="12"/>
      <c r="T898" s="12"/>
      <c r="U898" s="12"/>
      <c r="V898" s="12"/>
      <c r="W898" s="12"/>
      <c r="X898" s="12"/>
      <c r="Y898" s="12"/>
      <c r="Z898" s="12"/>
      <c r="AA898" s="12"/>
      <c r="AB898" s="12"/>
      <c r="AC898" s="12"/>
      <c r="AD898" s="12"/>
      <c r="AE898" s="12"/>
      <c r="AF898" s="12"/>
      <c r="AG898" s="12"/>
      <c r="AH898" s="12"/>
      <c r="AI898" s="12"/>
    </row>
    <row r="899" spans="1:35" s="10" customFormat="1" x14ac:dyDescent="0.35">
      <c r="A899" s="12"/>
      <c r="B899" s="12"/>
      <c r="C899" s="12"/>
      <c r="D899" s="12"/>
      <c r="E899" s="12"/>
      <c r="I899" s="14"/>
      <c r="M899" s="12"/>
      <c r="T899" s="12"/>
      <c r="U899" s="12"/>
      <c r="V899" s="12"/>
      <c r="W899" s="12"/>
      <c r="X899" s="12"/>
      <c r="Y899" s="12"/>
      <c r="Z899" s="12"/>
      <c r="AA899" s="12"/>
      <c r="AB899" s="12"/>
      <c r="AC899" s="12"/>
      <c r="AD899" s="12"/>
      <c r="AE899" s="12"/>
      <c r="AF899" s="12"/>
      <c r="AG899" s="12"/>
      <c r="AH899" s="12"/>
      <c r="AI899" s="12"/>
    </row>
    <row r="900" spans="1:35" s="10" customFormat="1" x14ac:dyDescent="0.35">
      <c r="A900" s="12"/>
      <c r="B900" s="12"/>
      <c r="C900" s="12"/>
      <c r="D900" s="12"/>
      <c r="E900" s="12"/>
      <c r="I900" s="14"/>
      <c r="M900" s="12"/>
      <c r="T900" s="12"/>
      <c r="U900" s="12"/>
      <c r="V900" s="12"/>
      <c r="W900" s="12"/>
      <c r="X900" s="12"/>
      <c r="Y900" s="12"/>
      <c r="Z900" s="12"/>
      <c r="AA900" s="12"/>
      <c r="AB900" s="12"/>
      <c r="AC900" s="12"/>
      <c r="AD900" s="12"/>
      <c r="AE900" s="12"/>
      <c r="AF900" s="12"/>
      <c r="AG900" s="12"/>
      <c r="AH900" s="12"/>
      <c r="AI900" s="12"/>
    </row>
    <row r="901" spans="1:35" s="10" customFormat="1" x14ac:dyDescent="0.35">
      <c r="A901" s="12"/>
      <c r="B901" s="12"/>
      <c r="C901" s="12"/>
      <c r="D901" s="12"/>
      <c r="E901" s="12"/>
      <c r="I901" s="14"/>
      <c r="M901" s="12"/>
      <c r="T901" s="12"/>
      <c r="U901" s="12"/>
      <c r="V901" s="12"/>
      <c r="W901" s="12"/>
      <c r="X901" s="12"/>
      <c r="Y901" s="12"/>
      <c r="Z901" s="12"/>
      <c r="AA901" s="12"/>
      <c r="AB901" s="12"/>
      <c r="AC901" s="12"/>
      <c r="AD901" s="12"/>
      <c r="AE901" s="12"/>
      <c r="AF901" s="12"/>
      <c r="AG901" s="12"/>
      <c r="AH901" s="12"/>
      <c r="AI901" s="12"/>
    </row>
    <row r="902" spans="1:35" s="10" customFormat="1" x14ac:dyDescent="0.35">
      <c r="A902" s="12"/>
      <c r="B902" s="12"/>
      <c r="C902" s="12"/>
      <c r="D902" s="12"/>
      <c r="E902" s="12"/>
      <c r="I902" s="14"/>
      <c r="M902" s="12"/>
      <c r="T902" s="12"/>
      <c r="U902" s="12"/>
      <c r="V902" s="12"/>
      <c r="W902" s="12"/>
      <c r="X902" s="12"/>
      <c r="Y902" s="12"/>
      <c r="Z902" s="12"/>
      <c r="AA902" s="12"/>
      <c r="AB902" s="12"/>
      <c r="AC902" s="12"/>
      <c r="AD902" s="12"/>
      <c r="AE902" s="12"/>
      <c r="AF902" s="12"/>
      <c r="AG902" s="12"/>
      <c r="AH902" s="12"/>
      <c r="AI902" s="12"/>
    </row>
    <row r="903" spans="1:35" s="10" customFormat="1" x14ac:dyDescent="0.35">
      <c r="A903" s="12"/>
      <c r="B903" s="12"/>
      <c r="C903" s="12"/>
      <c r="D903" s="12"/>
      <c r="E903" s="12"/>
      <c r="I903" s="14"/>
      <c r="M903" s="12"/>
      <c r="T903" s="12"/>
      <c r="U903" s="12"/>
      <c r="V903" s="12"/>
      <c r="W903" s="12"/>
      <c r="X903" s="12"/>
      <c r="Y903" s="12"/>
      <c r="Z903" s="12"/>
      <c r="AA903" s="12"/>
      <c r="AB903" s="12"/>
      <c r="AC903" s="12"/>
      <c r="AD903" s="12"/>
      <c r="AE903" s="12"/>
      <c r="AF903" s="12"/>
      <c r="AG903" s="12"/>
      <c r="AH903" s="12"/>
      <c r="AI903" s="12"/>
    </row>
    <row r="904" spans="1:35" s="10" customFormat="1" x14ac:dyDescent="0.35">
      <c r="A904" s="12"/>
      <c r="B904" s="12"/>
      <c r="C904" s="12"/>
      <c r="D904" s="12"/>
      <c r="E904" s="12"/>
      <c r="I904" s="14"/>
      <c r="M904" s="12"/>
      <c r="T904" s="12"/>
      <c r="U904" s="12"/>
      <c r="V904" s="12"/>
      <c r="W904" s="12"/>
      <c r="X904" s="12"/>
      <c r="Y904" s="12"/>
      <c r="Z904" s="12"/>
      <c r="AA904" s="12"/>
      <c r="AB904" s="12"/>
      <c r="AC904" s="12"/>
      <c r="AD904" s="12"/>
      <c r="AE904" s="12"/>
      <c r="AF904" s="12"/>
      <c r="AG904" s="12"/>
      <c r="AH904" s="12"/>
      <c r="AI904" s="12"/>
    </row>
    <row r="905" spans="1:35" s="10" customFormat="1" x14ac:dyDescent="0.35">
      <c r="A905" s="12"/>
      <c r="B905" s="12"/>
      <c r="C905" s="12"/>
      <c r="D905" s="12"/>
      <c r="E905" s="12"/>
      <c r="I905" s="14"/>
      <c r="M905" s="12"/>
      <c r="T905" s="12"/>
      <c r="U905" s="12"/>
      <c r="V905" s="12"/>
      <c r="W905" s="12"/>
      <c r="X905" s="12"/>
      <c r="Y905" s="12"/>
      <c r="Z905" s="12"/>
      <c r="AA905" s="12"/>
      <c r="AB905" s="12"/>
      <c r="AC905" s="12"/>
      <c r="AD905" s="12"/>
      <c r="AE905" s="12"/>
      <c r="AF905" s="12"/>
      <c r="AG905" s="12"/>
      <c r="AH905" s="12"/>
      <c r="AI905" s="12"/>
    </row>
    <row r="906" spans="1:35" s="10" customFormat="1" x14ac:dyDescent="0.35">
      <c r="A906" s="12"/>
      <c r="B906" s="12"/>
      <c r="C906" s="12"/>
      <c r="D906" s="12"/>
      <c r="E906" s="12"/>
      <c r="I906" s="14"/>
      <c r="M906" s="12"/>
      <c r="T906" s="12"/>
      <c r="U906" s="12"/>
      <c r="V906" s="12"/>
      <c r="W906" s="12"/>
      <c r="X906" s="12"/>
      <c r="Y906" s="12"/>
      <c r="Z906" s="12"/>
      <c r="AA906" s="12"/>
      <c r="AB906" s="12"/>
      <c r="AC906" s="12"/>
      <c r="AD906" s="12"/>
      <c r="AE906" s="12"/>
      <c r="AF906" s="12"/>
      <c r="AG906" s="12"/>
      <c r="AH906" s="12"/>
      <c r="AI906" s="12"/>
    </row>
    <row r="907" spans="1:35" s="10" customFormat="1" x14ac:dyDescent="0.35">
      <c r="A907" s="12"/>
      <c r="B907" s="12"/>
      <c r="C907" s="12"/>
      <c r="D907" s="12"/>
      <c r="E907" s="12"/>
      <c r="I907" s="14"/>
      <c r="M907" s="12"/>
      <c r="T907" s="12"/>
      <c r="U907" s="12"/>
      <c r="V907" s="12"/>
      <c r="W907" s="12"/>
      <c r="X907" s="12"/>
      <c r="Y907" s="12"/>
      <c r="Z907" s="12"/>
      <c r="AA907" s="12"/>
      <c r="AB907" s="12"/>
      <c r="AC907" s="12"/>
      <c r="AD907" s="12"/>
      <c r="AE907" s="12"/>
      <c r="AF907" s="12"/>
      <c r="AG907" s="12"/>
      <c r="AH907" s="12"/>
      <c r="AI907" s="12"/>
    </row>
    <row r="908" spans="1:35" s="10" customFormat="1" x14ac:dyDescent="0.35">
      <c r="A908" s="12"/>
      <c r="B908" s="12"/>
      <c r="C908" s="12"/>
      <c r="D908" s="12"/>
      <c r="E908" s="12"/>
      <c r="I908" s="14"/>
      <c r="M908" s="12"/>
      <c r="T908" s="12"/>
      <c r="U908" s="12"/>
      <c r="V908" s="12"/>
      <c r="W908" s="12"/>
      <c r="X908" s="12"/>
      <c r="Y908" s="12"/>
      <c r="Z908" s="12"/>
      <c r="AA908" s="12"/>
      <c r="AB908" s="12"/>
      <c r="AC908" s="12"/>
      <c r="AD908" s="12"/>
      <c r="AE908" s="12"/>
      <c r="AF908" s="12"/>
      <c r="AG908" s="12"/>
      <c r="AH908" s="12"/>
      <c r="AI908" s="12"/>
    </row>
    <row r="909" spans="1:35" s="10" customFormat="1" x14ac:dyDescent="0.35">
      <c r="A909" s="12"/>
      <c r="B909" s="12"/>
      <c r="C909" s="12"/>
      <c r="D909" s="12"/>
      <c r="E909" s="12"/>
      <c r="I909" s="14"/>
      <c r="M909" s="12"/>
      <c r="T909" s="12"/>
      <c r="U909" s="12"/>
      <c r="V909" s="12"/>
      <c r="W909" s="12"/>
      <c r="X909" s="12"/>
      <c r="Y909" s="12"/>
      <c r="Z909" s="12"/>
      <c r="AA909" s="12"/>
      <c r="AB909" s="12"/>
      <c r="AC909" s="12"/>
      <c r="AD909" s="12"/>
      <c r="AE909" s="12"/>
      <c r="AF909" s="12"/>
      <c r="AG909" s="12"/>
      <c r="AH909" s="12"/>
      <c r="AI909" s="12"/>
    </row>
    <row r="910" spans="1:35" s="10" customFormat="1" x14ac:dyDescent="0.35">
      <c r="A910" s="12"/>
      <c r="B910" s="12"/>
      <c r="C910" s="12"/>
      <c r="D910" s="12"/>
      <c r="E910" s="12"/>
      <c r="I910" s="14"/>
      <c r="M910" s="12"/>
      <c r="T910" s="12"/>
      <c r="U910" s="12"/>
      <c r="V910" s="12"/>
      <c r="W910" s="12"/>
      <c r="X910" s="12"/>
      <c r="Y910" s="12"/>
      <c r="Z910" s="12"/>
      <c r="AA910" s="12"/>
      <c r="AB910" s="12"/>
      <c r="AC910" s="12"/>
      <c r="AD910" s="12"/>
      <c r="AE910" s="12"/>
      <c r="AF910" s="12"/>
      <c r="AG910" s="12"/>
      <c r="AH910" s="12"/>
      <c r="AI910" s="12"/>
    </row>
    <row r="911" spans="1:35" s="10" customFormat="1" x14ac:dyDescent="0.35">
      <c r="A911" s="12"/>
      <c r="B911" s="12"/>
      <c r="C911" s="12"/>
      <c r="D911" s="12"/>
      <c r="E911" s="12"/>
      <c r="I911" s="14"/>
      <c r="M911" s="12"/>
      <c r="T911" s="12"/>
      <c r="U911" s="12"/>
      <c r="V911" s="12"/>
      <c r="W911" s="12"/>
      <c r="X911" s="12"/>
      <c r="Y911" s="12"/>
      <c r="Z911" s="12"/>
      <c r="AA911" s="12"/>
      <c r="AB911" s="12"/>
      <c r="AC911" s="12"/>
      <c r="AD911" s="12"/>
      <c r="AE911" s="12"/>
      <c r="AF911" s="12"/>
      <c r="AG911" s="12"/>
      <c r="AH911" s="12"/>
      <c r="AI911" s="12"/>
    </row>
    <row r="912" spans="1:35" s="10" customFormat="1" x14ac:dyDescent="0.35">
      <c r="A912" s="12"/>
      <c r="B912" s="12"/>
      <c r="C912" s="12"/>
      <c r="D912" s="12"/>
      <c r="E912" s="12"/>
      <c r="I912" s="14"/>
      <c r="M912" s="12"/>
      <c r="T912" s="12"/>
      <c r="U912" s="12"/>
      <c r="V912" s="12"/>
      <c r="W912" s="12"/>
      <c r="X912" s="12"/>
      <c r="Y912" s="12"/>
      <c r="Z912" s="12"/>
      <c r="AA912" s="12"/>
      <c r="AB912" s="12"/>
      <c r="AC912" s="12"/>
      <c r="AD912" s="12"/>
      <c r="AE912" s="12"/>
      <c r="AF912" s="12"/>
      <c r="AG912" s="12"/>
      <c r="AH912" s="12"/>
      <c r="AI912" s="12"/>
    </row>
    <row r="913" spans="1:35" s="10" customFormat="1" x14ac:dyDescent="0.35">
      <c r="A913" s="12"/>
      <c r="B913" s="12"/>
      <c r="C913" s="12"/>
      <c r="D913" s="12"/>
      <c r="E913" s="12"/>
      <c r="I913" s="14"/>
      <c r="M913" s="12"/>
      <c r="T913" s="12"/>
      <c r="U913" s="12"/>
      <c r="V913" s="12"/>
      <c r="W913" s="12"/>
      <c r="X913" s="12"/>
      <c r="Y913" s="12"/>
      <c r="Z913" s="12"/>
      <c r="AA913" s="12"/>
      <c r="AB913" s="12"/>
      <c r="AC913" s="12"/>
      <c r="AD913" s="12"/>
      <c r="AE913" s="12"/>
      <c r="AF913" s="12"/>
      <c r="AG913" s="12"/>
      <c r="AH913" s="12"/>
      <c r="AI913" s="12"/>
    </row>
    <row r="914" spans="1:35" s="10" customFormat="1" x14ac:dyDescent="0.35">
      <c r="A914" s="12"/>
      <c r="B914" s="12"/>
      <c r="C914" s="12"/>
      <c r="D914" s="12"/>
      <c r="E914" s="12"/>
      <c r="I914" s="14"/>
      <c r="M914" s="12"/>
      <c r="T914" s="12"/>
      <c r="U914" s="12"/>
      <c r="V914" s="12"/>
      <c r="W914" s="12"/>
      <c r="X914" s="12"/>
      <c r="Y914" s="12"/>
      <c r="Z914" s="12"/>
      <c r="AA914" s="12"/>
      <c r="AB914" s="12"/>
      <c r="AC914" s="12"/>
      <c r="AD914" s="12"/>
      <c r="AE914" s="12"/>
      <c r="AF914" s="12"/>
      <c r="AG914" s="12"/>
      <c r="AH914" s="12"/>
      <c r="AI914" s="12"/>
    </row>
    <row r="915" spans="1:35" s="10" customFormat="1" x14ac:dyDescent="0.35">
      <c r="A915" s="12"/>
      <c r="B915" s="12"/>
      <c r="C915" s="12"/>
      <c r="D915" s="12"/>
      <c r="E915" s="12"/>
      <c r="I915" s="14"/>
      <c r="M915" s="12"/>
      <c r="T915" s="12"/>
      <c r="U915" s="12"/>
      <c r="V915" s="12"/>
      <c r="W915" s="12"/>
      <c r="X915" s="12"/>
      <c r="Y915" s="12"/>
      <c r="Z915" s="12"/>
      <c r="AA915" s="12"/>
      <c r="AB915" s="12"/>
      <c r="AC915" s="12"/>
      <c r="AD915" s="12"/>
      <c r="AE915" s="12"/>
      <c r="AF915" s="12"/>
      <c r="AG915" s="12"/>
      <c r="AH915" s="12"/>
      <c r="AI915" s="12"/>
    </row>
    <row r="916" spans="1:35" s="10" customFormat="1" x14ac:dyDescent="0.35">
      <c r="A916" s="12"/>
      <c r="B916" s="12"/>
      <c r="C916" s="12"/>
      <c r="D916" s="12"/>
      <c r="E916" s="12"/>
      <c r="I916" s="14"/>
      <c r="M916" s="12"/>
      <c r="T916" s="12"/>
      <c r="U916" s="12"/>
      <c r="V916" s="12"/>
      <c r="W916" s="12"/>
      <c r="X916" s="12"/>
      <c r="Y916" s="12"/>
      <c r="Z916" s="12"/>
      <c r="AA916" s="12"/>
      <c r="AB916" s="12"/>
      <c r="AC916" s="12"/>
      <c r="AD916" s="12"/>
      <c r="AE916" s="12"/>
      <c r="AF916" s="12"/>
      <c r="AG916" s="12"/>
      <c r="AH916" s="12"/>
      <c r="AI916" s="12"/>
    </row>
    <row r="917" spans="1:35" s="10" customFormat="1" x14ac:dyDescent="0.35">
      <c r="A917" s="12"/>
      <c r="B917" s="12"/>
      <c r="C917" s="12"/>
      <c r="D917" s="12"/>
      <c r="E917" s="12"/>
      <c r="I917" s="14"/>
      <c r="M917" s="12"/>
      <c r="T917" s="12"/>
      <c r="U917" s="12"/>
      <c r="V917" s="12"/>
      <c r="W917" s="12"/>
      <c r="X917" s="12"/>
      <c r="Y917" s="12"/>
      <c r="Z917" s="12"/>
      <c r="AA917" s="12"/>
      <c r="AB917" s="12"/>
      <c r="AC917" s="12"/>
      <c r="AD917" s="12"/>
      <c r="AE917" s="12"/>
      <c r="AF917" s="12"/>
      <c r="AG917" s="12"/>
      <c r="AH917" s="12"/>
      <c r="AI917" s="12"/>
    </row>
    <row r="918" spans="1:35" s="10" customFormat="1" x14ac:dyDescent="0.35">
      <c r="A918" s="12"/>
      <c r="B918" s="12"/>
      <c r="C918" s="12"/>
      <c r="D918" s="12"/>
      <c r="E918" s="12"/>
      <c r="I918" s="14"/>
      <c r="M918" s="12"/>
      <c r="T918" s="12"/>
      <c r="U918" s="12"/>
      <c r="V918" s="12"/>
      <c r="W918" s="12"/>
      <c r="X918" s="12"/>
      <c r="Y918" s="12"/>
      <c r="Z918" s="12"/>
      <c r="AA918" s="12"/>
      <c r="AB918" s="12"/>
      <c r="AC918" s="12"/>
      <c r="AD918" s="12"/>
      <c r="AE918" s="12"/>
      <c r="AF918" s="12"/>
      <c r="AG918" s="12"/>
      <c r="AH918" s="12"/>
      <c r="AI918" s="12"/>
    </row>
    <row r="919" spans="1:35" s="10" customFormat="1" x14ac:dyDescent="0.35">
      <c r="A919" s="12"/>
      <c r="B919" s="12"/>
      <c r="C919" s="12"/>
      <c r="D919" s="12"/>
      <c r="E919" s="12"/>
      <c r="I919" s="14"/>
      <c r="M919" s="12"/>
      <c r="T919" s="12"/>
      <c r="U919" s="12"/>
      <c r="V919" s="12"/>
      <c r="W919" s="12"/>
      <c r="X919" s="12"/>
      <c r="Y919" s="12"/>
      <c r="Z919" s="12"/>
      <c r="AA919" s="12"/>
      <c r="AB919" s="12"/>
      <c r="AC919" s="12"/>
      <c r="AD919" s="12"/>
      <c r="AE919" s="12"/>
      <c r="AF919" s="12"/>
      <c r="AG919" s="12"/>
      <c r="AH919" s="12"/>
      <c r="AI919" s="12"/>
    </row>
    <row r="920" spans="1:35" s="10" customFormat="1" x14ac:dyDescent="0.35">
      <c r="A920" s="12"/>
      <c r="B920" s="12"/>
      <c r="C920" s="12"/>
      <c r="D920" s="12"/>
      <c r="E920" s="12"/>
      <c r="I920" s="14"/>
      <c r="M920" s="12"/>
      <c r="T920" s="12"/>
      <c r="U920" s="12"/>
      <c r="V920" s="12"/>
      <c r="W920" s="12"/>
      <c r="X920" s="12"/>
      <c r="Y920" s="12"/>
      <c r="Z920" s="12"/>
      <c r="AA920" s="12"/>
      <c r="AB920" s="12"/>
      <c r="AC920" s="12"/>
      <c r="AD920" s="12"/>
      <c r="AE920" s="12"/>
      <c r="AF920" s="12"/>
      <c r="AG920" s="12"/>
      <c r="AH920" s="12"/>
      <c r="AI920" s="12"/>
    </row>
    <row r="921" spans="1:35" s="10" customFormat="1" x14ac:dyDescent="0.35">
      <c r="A921" s="12"/>
      <c r="B921" s="12"/>
      <c r="C921" s="12"/>
      <c r="D921" s="12"/>
      <c r="E921" s="12"/>
      <c r="I921" s="14"/>
      <c r="M921" s="12"/>
      <c r="T921" s="12"/>
      <c r="U921" s="12"/>
      <c r="V921" s="12"/>
      <c r="W921" s="12"/>
      <c r="X921" s="12"/>
      <c r="Y921" s="12"/>
      <c r="Z921" s="12"/>
      <c r="AA921" s="12"/>
      <c r="AB921" s="12"/>
      <c r="AC921" s="12"/>
      <c r="AD921" s="12"/>
      <c r="AE921" s="12"/>
      <c r="AF921" s="12"/>
      <c r="AG921" s="12"/>
      <c r="AH921" s="12"/>
      <c r="AI921" s="12"/>
    </row>
    <row r="922" spans="1:35" s="10" customFormat="1" x14ac:dyDescent="0.35">
      <c r="A922" s="12"/>
      <c r="B922" s="12"/>
      <c r="C922" s="12"/>
      <c r="D922" s="12"/>
      <c r="E922" s="12"/>
      <c r="I922" s="14"/>
      <c r="M922" s="12"/>
      <c r="T922" s="12"/>
      <c r="U922" s="12"/>
      <c r="V922" s="12"/>
      <c r="W922" s="12"/>
      <c r="X922" s="12"/>
      <c r="Y922" s="12"/>
      <c r="Z922" s="12"/>
      <c r="AA922" s="12"/>
      <c r="AB922" s="12"/>
      <c r="AC922" s="12"/>
      <c r="AD922" s="12"/>
      <c r="AE922" s="12"/>
      <c r="AF922" s="12"/>
      <c r="AG922" s="12"/>
      <c r="AH922" s="12"/>
      <c r="AI922" s="12"/>
    </row>
    <row r="923" spans="1:35" s="10" customFormat="1" x14ac:dyDescent="0.35">
      <c r="A923" s="12"/>
      <c r="B923" s="12"/>
      <c r="C923" s="12"/>
      <c r="D923" s="12"/>
      <c r="E923" s="12"/>
      <c r="I923" s="14"/>
      <c r="M923" s="12"/>
      <c r="T923" s="12"/>
      <c r="U923" s="12"/>
      <c r="V923" s="12"/>
      <c r="W923" s="12"/>
      <c r="X923" s="12"/>
      <c r="Y923" s="12"/>
      <c r="Z923" s="12"/>
      <c r="AA923" s="12"/>
      <c r="AB923" s="12"/>
      <c r="AC923" s="12"/>
      <c r="AD923" s="12"/>
      <c r="AE923" s="12"/>
      <c r="AF923" s="12"/>
      <c r="AG923" s="12"/>
      <c r="AH923" s="12"/>
      <c r="AI923" s="12"/>
    </row>
    <row r="924" spans="1:35" s="10" customFormat="1" x14ac:dyDescent="0.35">
      <c r="A924" s="12"/>
      <c r="B924" s="12"/>
      <c r="C924" s="12"/>
      <c r="D924" s="12"/>
      <c r="E924" s="12"/>
      <c r="I924" s="14"/>
      <c r="M924" s="12"/>
      <c r="T924" s="12"/>
      <c r="U924" s="12"/>
      <c r="V924" s="12"/>
      <c r="W924" s="12"/>
      <c r="X924" s="12"/>
      <c r="Y924" s="12"/>
      <c r="Z924" s="12"/>
      <c r="AA924" s="12"/>
      <c r="AB924" s="12"/>
      <c r="AC924" s="12"/>
      <c r="AD924" s="12"/>
      <c r="AE924" s="12"/>
      <c r="AF924" s="12"/>
      <c r="AG924" s="12"/>
      <c r="AH924" s="12"/>
      <c r="AI924" s="12"/>
    </row>
    <row r="925" spans="1:35" s="10" customFormat="1" x14ac:dyDescent="0.35">
      <c r="A925" s="12"/>
      <c r="B925" s="12"/>
      <c r="C925" s="12"/>
      <c r="D925" s="12"/>
      <c r="E925" s="12"/>
      <c r="I925" s="14"/>
      <c r="M925" s="12"/>
      <c r="T925" s="12"/>
      <c r="U925" s="12"/>
      <c r="V925" s="12"/>
      <c r="W925" s="12"/>
      <c r="X925" s="12"/>
      <c r="Y925" s="12"/>
      <c r="Z925" s="12"/>
      <c r="AA925" s="12"/>
      <c r="AB925" s="12"/>
      <c r="AC925" s="12"/>
      <c r="AD925" s="12"/>
      <c r="AE925" s="12"/>
      <c r="AF925" s="12"/>
      <c r="AG925" s="12"/>
      <c r="AH925" s="12"/>
      <c r="AI925" s="12"/>
    </row>
    <row r="926" spans="1:35" s="10" customFormat="1" x14ac:dyDescent="0.35">
      <c r="A926" s="12"/>
      <c r="B926" s="12"/>
      <c r="C926" s="12"/>
      <c r="D926" s="12"/>
      <c r="E926" s="12"/>
      <c r="I926" s="14"/>
      <c r="M926" s="12"/>
      <c r="T926" s="12"/>
      <c r="U926" s="12"/>
      <c r="V926" s="12"/>
      <c r="W926" s="12"/>
      <c r="X926" s="12"/>
      <c r="Y926" s="12"/>
      <c r="Z926" s="12"/>
      <c r="AA926" s="12"/>
      <c r="AB926" s="12"/>
      <c r="AC926" s="12"/>
      <c r="AD926" s="12"/>
      <c r="AE926" s="12"/>
      <c r="AF926" s="12"/>
      <c r="AG926" s="12"/>
      <c r="AH926" s="12"/>
      <c r="AI926" s="12"/>
    </row>
    <row r="927" spans="1:35" s="10" customFormat="1" x14ac:dyDescent="0.35">
      <c r="A927" s="12"/>
      <c r="B927" s="12"/>
      <c r="C927" s="12"/>
      <c r="D927" s="12"/>
      <c r="E927" s="12"/>
      <c r="I927" s="14"/>
      <c r="M927" s="12"/>
      <c r="T927" s="12"/>
      <c r="U927" s="12"/>
      <c r="V927" s="12"/>
      <c r="W927" s="12"/>
      <c r="X927" s="12"/>
      <c r="Y927" s="12"/>
      <c r="Z927" s="12"/>
      <c r="AA927" s="12"/>
      <c r="AB927" s="12"/>
      <c r="AC927" s="12"/>
      <c r="AD927" s="12"/>
      <c r="AE927" s="12"/>
      <c r="AF927" s="12"/>
      <c r="AG927" s="12"/>
      <c r="AH927" s="12"/>
      <c r="AI927" s="12"/>
    </row>
    <row r="928" spans="1:35" s="10" customFormat="1" x14ac:dyDescent="0.35">
      <c r="A928" s="12"/>
      <c r="B928" s="12"/>
      <c r="C928" s="12"/>
      <c r="D928" s="12"/>
      <c r="E928" s="12"/>
      <c r="I928" s="14"/>
      <c r="M928" s="12"/>
      <c r="T928" s="12"/>
      <c r="U928" s="12"/>
      <c r="V928" s="12"/>
      <c r="W928" s="12"/>
      <c r="X928" s="12"/>
      <c r="Y928" s="12"/>
      <c r="Z928" s="12"/>
      <c r="AA928" s="12"/>
      <c r="AB928" s="12"/>
      <c r="AC928" s="12"/>
      <c r="AD928" s="12"/>
      <c r="AE928" s="12"/>
      <c r="AF928" s="12"/>
      <c r="AG928" s="12"/>
      <c r="AH928" s="12"/>
      <c r="AI928" s="12"/>
    </row>
    <row r="929" spans="1:35" s="10" customFormat="1" x14ac:dyDescent="0.35">
      <c r="A929" s="12"/>
      <c r="B929" s="12"/>
      <c r="C929" s="12"/>
      <c r="D929" s="12"/>
      <c r="E929" s="12"/>
      <c r="I929" s="14"/>
      <c r="M929" s="12"/>
      <c r="T929" s="12"/>
      <c r="U929" s="12"/>
      <c r="V929" s="12"/>
      <c r="W929" s="12"/>
      <c r="X929" s="12"/>
      <c r="Y929" s="12"/>
      <c r="Z929" s="12"/>
      <c r="AA929" s="12"/>
      <c r="AB929" s="12"/>
      <c r="AC929" s="12"/>
      <c r="AD929" s="12"/>
      <c r="AE929" s="12"/>
      <c r="AF929" s="12"/>
      <c r="AG929" s="12"/>
      <c r="AH929" s="12"/>
      <c r="AI929" s="12"/>
    </row>
    <row r="930" spans="1:35" s="10" customFormat="1" x14ac:dyDescent="0.35">
      <c r="A930" s="12"/>
      <c r="B930" s="12"/>
      <c r="C930" s="12"/>
      <c r="D930" s="12"/>
      <c r="E930" s="12"/>
      <c r="I930" s="14"/>
      <c r="M930" s="12"/>
      <c r="T930" s="12"/>
      <c r="U930" s="12"/>
      <c r="V930" s="12"/>
      <c r="W930" s="12"/>
      <c r="X930" s="12"/>
      <c r="Y930" s="12"/>
      <c r="Z930" s="12"/>
      <c r="AA930" s="12"/>
      <c r="AB930" s="12"/>
      <c r="AC930" s="12"/>
      <c r="AD930" s="12"/>
      <c r="AE930" s="12"/>
      <c r="AF930" s="12"/>
      <c r="AG930" s="12"/>
      <c r="AH930" s="12"/>
      <c r="AI930" s="12"/>
    </row>
    <row r="931" spans="1:35" s="10" customFormat="1" x14ac:dyDescent="0.35">
      <c r="A931" s="12"/>
      <c r="B931" s="12"/>
      <c r="C931" s="12"/>
      <c r="D931" s="12"/>
      <c r="E931" s="12"/>
      <c r="I931" s="14"/>
      <c r="M931" s="12"/>
      <c r="T931" s="12"/>
      <c r="U931" s="12"/>
      <c r="V931" s="12"/>
      <c r="W931" s="12"/>
      <c r="X931" s="12"/>
      <c r="Y931" s="12"/>
      <c r="Z931" s="12"/>
      <c r="AA931" s="12"/>
      <c r="AB931" s="12"/>
      <c r="AC931" s="12"/>
      <c r="AD931" s="12"/>
      <c r="AE931" s="12"/>
      <c r="AF931" s="12"/>
      <c r="AG931" s="12"/>
      <c r="AH931" s="12"/>
      <c r="AI931" s="12"/>
    </row>
    <row r="932" spans="1:35" s="10" customFormat="1" x14ac:dyDescent="0.35">
      <c r="A932" s="12"/>
      <c r="B932" s="12"/>
      <c r="C932" s="12"/>
      <c r="D932" s="12"/>
      <c r="E932" s="12"/>
      <c r="I932" s="14"/>
      <c r="M932" s="12"/>
      <c r="T932" s="12"/>
      <c r="U932" s="12"/>
      <c r="V932" s="12"/>
      <c r="W932" s="12"/>
      <c r="X932" s="12"/>
      <c r="Y932" s="12"/>
      <c r="Z932" s="12"/>
      <c r="AA932" s="12"/>
      <c r="AB932" s="12"/>
      <c r="AC932" s="12"/>
      <c r="AD932" s="12"/>
      <c r="AE932" s="12"/>
      <c r="AF932" s="12"/>
      <c r="AG932" s="12"/>
      <c r="AH932" s="12"/>
      <c r="AI932" s="12"/>
    </row>
    <row r="933" spans="1:35" s="10" customFormat="1" x14ac:dyDescent="0.35">
      <c r="A933" s="12"/>
      <c r="B933" s="12"/>
      <c r="C933" s="12"/>
      <c r="D933" s="12"/>
      <c r="E933" s="12"/>
      <c r="I933" s="14"/>
      <c r="M933" s="12"/>
      <c r="T933" s="12"/>
      <c r="U933" s="12"/>
      <c r="V933" s="12"/>
      <c r="W933" s="12"/>
      <c r="X933" s="12"/>
      <c r="Y933" s="12"/>
      <c r="Z933" s="12"/>
      <c r="AA933" s="12"/>
      <c r="AB933" s="12"/>
      <c r="AC933" s="12"/>
      <c r="AD933" s="12"/>
      <c r="AE933" s="12"/>
      <c r="AF933" s="12"/>
      <c r="AG933" s="12"/>
      <c r="AH933" s="12"/>
      <c r="AI933" s="12"/>
    </row>
    <row r="934" spans="1:35" s="10" customFormat="1" x14ac:dyDescent="0.35">
      <c r="A934" s="12"/>
      <c r="B934" s="12"/>
      <c r="C934" s="12"/>
      <c r="D934" s="12"/>
      <c r="E934" s="12"/>
      <c r="I934" s="14"/>
      <c r="M934" s="12"/>
      <c r="T934" s="12"/>
      <c r="U934" s="12"/>
      <c r="V934" s="12"/>
      <c r="W934" s="12"/>
      <c r="X934" s="12"/>
      <c r="Y934" s="12"/>
      <c r="Z934" s="12"/>
      <c r="AA934" s="12"/>
      <c r="AB934" s="12"/>
      <c r="AC934" s="12"/>
      <c r="AD934" s="12"/>
      <c r="AE934" s="12"/>
      <c r="AF934" s="12"/>
      <c r="AG934" s="12"/>
      <c r="AH934" s="12"/>
      <c r="AI934" s="12"/>
    </row>
    <row r="935" spans="1:35" s="10" customFormat="1" x14ac:dyDescent="0.35">
      <c r="A935" s="12"/>
      <c r="B935" s="12"/>
      <c r="C935" s="12"/>
      <c r="D935" s="12"/>
      <c r="E935" s="12"/>
      <c r="I935" s="14"/>
      <c r="M935" s="12"/>
      <c r="T935" s="12"/>
      <c r="U935" s="12"/>
      <c r="V935" s="12"/>
      <c r="W935" s="12"/>
      <c r="X935" s="12"/>
      <c r="Y935" s="12"/>
      <c r="Z935" s="12"/>
      <c r="AA935" s="12"/>
      <c r="AB935" s="12"/>
      <c r="AC935" s="12"/>
      <c r="AD935" s="12"/>
      <c r="AE935" s="12"/>
      <c r="AF935" s="12"/>
      <c r="AG935" s="12"/>
      <c r="AH935" s="12"/>
      <c r="AI935" s="12"/>
    </row>
    <row r="936" spans="1:35" s="10" customFormat="1" x14ac:dyDescent="0.35">
      <c r="A936" s="12"/>
      <c r="B936" s="12"/>
      <c r="C936" s="12"/>
      <c r="D936" s="12"/>
      <c r="E936" s="12"/>
      <c r="I936" s="14"/>
      <c r="M936" s="12"/>
      <c r="T936" s="12"/>
      <c r="U936" s="12"/>
      <c r="V936" s="12"/>
      <c r="W936" s="12"/>
      <c r="X936" s="12"/>
      <c r="Y936" s="12"/>
      <c r="Z936" s="12"/>
      <c r="AA936" s="12"/>
      <c r="AB936" s="12"/>
      <c r="AC936" s="12"/>
      <c r="AD936" s="12"/>
      <c r="AE936" s="12"/>
      <c r="AF936" s="12"/>
      <c r="AG936" s="12"/>
      <c r="AH936" s="12"/>
      <c r="AI936" s="12"/>
    </row>
    <row r="937" spans="1:35" s="10" customFormat="1" x14ac:dyDescent="0.35">
      <c r="A937" s="12"/>
      <c r="B937" s="12"/>
      <c r="C937" s="12"/>
      <c r="D937" s="12"/>
      <c r="E937" s="12"/>
      <c r="I937" s="14"/>
      <c r="M937" s="12"/>
      <c r="T937" s="12"/>
      <c r="U937" s="12"/>
      <c r="V937" s="12"/>
      <c r="W937" s="12"/>
      <c r="X937" s="12"/>
      <c r="Y937" s="12"/>
      <c r="Z937" s="12"/>
      <c r="AA937" s="12"/>
      <c r="AB937" s="12"/>
      <c r="AC937" s="12"/>
      <c r="AD937" s="12"/>
      <c r="AE937" s="12"/>
      <c r="AF937" s="12"/>
      <c r="AG937" s="12"/>
      <c r="AH937" s="12"/>
      <c r="AI937" s="12"/>
    </row>
    <row r="938" spans="1:35" s="10" customFormat="1" x14ac:dyDescent="0.35">
      <c r="A938" s="12"/>
      <c r="B938" s="12"/>
      <c r="C938" s="12"/>
      <c r="D938" s="12"/>
      <c r="E938" s="12"/>
      <c r="I938" s="14"/>
      <c r="M938" s="12"/>
      <c r="T938" s="12"/>
      <c r="U938" s="12"/>
      <c r="V938" s="12"/>
      <c r="W938" s="12"/>
      <c r="X938" s="12"/>
      <c r="Y938" s="12"/>
      <c r="Z938" s="12"/>
      <c r="AA938" s="12"/>
      <c r="AB938" s="12"/>
      <c r="AC938" s="12"/>
      <c r="AD938" s="12"/>
      <c r="AE938" s="12"/>
      <c r="AF938" s="12"/>
      <c r="AG938" s="12"/>
      <c r="AH938" s="12"/>
      <c r="AI938" s="12"/>
    </row>
    <row r="939" spans="1:35" s="10" customFormat="1" x14ac:dyDescent="0.35">
      <c r="A939" s="12"/>
      <c r="B939" s="12"/>
      <c r="C939" s="12"/>
      <c r="D939" s="12"/>
      <c r="E939" s="12"/>
      <c r="I939" s="14"/>
      <c r="M939" s="12"/>
      <c r="T939" s="12"/>
      <c r="U939" s="12"/>
      <c r="V939" s="12"/>
      <c r="W939" s="12"/>
      <c r="X939" s="12"/>
      <c r="Y939" s="12"/>
      <c r="Z939" s="12"/>
      <c r="AA939" s="12"/>
      <c r="AB939" s="12"/>
      <c r="AC939" s="12"/>
      <c r="AD939" s="12"/>
      <c r="AE939" s="12"/>
      <c r="AF939" s="12"/>
      <c r="AG939" s="12"/>
      <c r="AH939" s="12"/>
      <c r="AI939" s="12"/>
    </row>
    <row r="940" spans="1:35" s="10" customFormat="1" x14ac:dyDescent="0.35">
      <c r="A940" s="12"/>
      <c r="B940" s="12"/>
      <c r="C940" s="12"/>
      <c r="D940" s="12"/>
      <c r="E940" s="12"/>
      <c r="I940" s="14"/>
      <c r="M940" s="12"/>
      <c r="T940" s="12"/>
      <c r="U940" s="12"/>
      <c r="V940" s="12"/>
      <c r="W940" s="12"/>
      <c r="X940" s="12"/>
      <c r="Y940" s="12"/>
      <c r="Z940" s="12"/>
      <c r="AA940" s="12"/>
      <c r="AB940" s="12"/>
      <c r="AC940" s="12"/>
      <c r="AD940" s="12"/>
      <c r="AE940" s="12"/>
      <c r="AF940" s="12"/>
      <c r="AG940" s="12"/>
      <c r="AH940" s="12"/>
      <c r="AI940" s="12"/>
    </row>
    <row r="941" spans="1:35" s="10" customFormat="1" x14ac:dyDescent="0.35">
      <c r="A941" s="12"/>
      <c r="B941" s="12"/>
      <c r="C941" s="12"/>
      <c r="D941" s="12"/>
      <c r="E941" s="12"/>
      <c r="I941" s="14"/>
      <c r="M941" s="12"/>
      <c r="T941" s="12"/>
      <c r="U941" s="12"/>
      <c r="V941" s="12"/>
      <c r="W941" s="12"/>
      <c r="X941" s="12"/>
      <c r="Y941" s="12"/>
      <c r="Z941" s="12"/>
      <c r="AA941" s="12"/>
      <c r="AB941" s="12"/>
      <c r="AC941" s="12"/>
      <c r="AD941" s="12"/>
      <c r="AE941" s="12"/>
      <c r="AF941" s="12"/>
      <c r="AG941" s="12"/>
      <c r="AH941" s="12"/>
      <c r="AI941" s="12"/>
    </row>
    <row r="942" spans="1:35" s="10" customFormat="1" x14ac:dyDescent="0.35">
      <c r="A942" s="12"/>
      <c r="B942" s="12"/>
      <c r="C942" s="12"/>
      <c r="D942" s="12"/>
      <c r="E942" s="12"/>
      <c r="I942" s="14"/>
      <c r="M942" s="12"/>
      <c r="T942" s="12"/>
      <c r="U942" s="12"/>
      <c r="V942" s="12"/>
      <c r="W942" s="12"/>
      <c r="X942" s="12"/>
      <c r="Y942" s="12"/>
      <c r="Z942" s="12"/>
      <c r="AA942" s="12"/>
      <c r="AB942" s="12"/>
      <c r="AC942" s="12"/>
      <c r="AD942" s="12"/>
      <c r="AE942" s="12"/>
      <c r="AF942" s="12"/>
      <c r="AG942" s="12"/>
      <c r="AH942" s="12"/>
      <c r="AI942" s="12"/>
    </row>
    <row r="943" spans="1:35" s="10" customFormat="1" x14ac:dyDescent="0.35">
      <c r="A943" s="12"/>
      <c r="B943" s="12"/>
      <c r="C943" s="12"/>
      <c r="D943" s="12"/>
      <c r="E943" s="12"/>
      <c r="I943" s="14"/>
      <c r="M943" s="12"/>
      <c r="T943" s="12"/>
      <c r="U943" s="12"/>
      <c r="V943" s="12"/>
      <c r="W943" s="12"/>
      <c r="X943" s="12"/>
      <c r="Y943" s="12"/>
      <c r="Z943" s="12"/>
      <c r="AA943" s="12"/>
      <c r="AB943" s="12"/>
      <c r="AC943" s="12"/>
      <c r="AD943" s="12"/>
      <c r="AE943" s="12"/>
      <c r="AF943" s="12"/>
      <c r="AG943" s="12"/>
      <c r="AH943" s="12"/>
      <c r="AI943" s="12"/>
    </row>
    <row r="944" spans="1:35" s="10" customFormat="1" x14ac:dyDescent="0.35">
      <c r="A944" s="12"/>
      <c r="B944" s="12"/>
      <c r="C944" s="12"/>
      <c r="D944" s="12"/>
      <c r="E944" s="12"/>
      <c r="I944" s="14"/>
      <c r="M944" s="12"/>
      <c r="T944" s="12"/>
      <c r="U944" s="12"/>
      <c r="V944" s="12"/>
      <c r="W944" s="12"/>
      <c r="X944" s="12"/>
      <c r="Y944" s="12"/>
      <c r="Z944" s="12"/>
      <c r="AA944" s="12"/>
      <c r="AB944" s="12"/>
      <c r="AC944" s="12"/>
      <c r="AD944" s="12"/>
      <c r="AE944" s="12"/>
      <c r="AF944" s="12"/>
      <c r="AG944" s="12"/>
      <c r="AH944" s="12"/>
      <c r="AI944" s="12"/>
    </row>
    <row r="945" spans="1:35" s="10" customFormat="1" x14ac:dyDescent="0.35">
      <c r="A945" s="12"/>
      <c r="B945" s="12"/>
      <c r="C945" s="12"/>
      <c r="D945" s="12"/>
      <c r="E945" s="12"/>
      <c r="I945" s="14"/>
      <c r="M945" s="12"/>
      <c r="T945" s="12"/>
      <c r="U945" s="12"/>
      <c r="V945" s="12"/>
      <c r="W945" s="12"/>
      <c r="X945" s="12"/>
      <c r="Y945" s="12"/>
      <c r="Z945" s="12"/>
      <c r="AA945" s="12"/>
      <c r="AB945" s="12"/>
      <c r="AC945" s="12"/>
      <c r="AD945" s="12"/>
      <c r="AE945" s="12"/>
      <c r="AF945" s="12"/>
      <c r="AG945" s="12"/>
      <c r="AH945" s="12"/>
      <c r="AI945" s="12"/>
    </row>
    <row r="946" spans="1:35" s="10" customFormat="1" x14ac:dyDescent="0.35">
      <c r="A946" s="12"/>
      <c r="B946" s="12"/>
      <c r="C946" s="12"/>
      <c r="D946" s="12"/>
      <c r="E946" s="12"/>
      <c r="I946" s="14"/>
      <c r="M946" s="12"/>
      <c r="T946" s="12"/>
      <c r="U946" s="12"/>
      <c r="V946" s="12"/>
      <c r="W946" s="12"/>
      <c r="X946" s="12"/>
      <c r="Y946" s="12"/>
      <c r="Z946" s="12"/>
      <c r="AA946" s="12"/>
      <c r="AB946" s="12"/>
      <c r="AC946" s="12"/>
      <c r="AD946" s="12"/>
      <c r="AE946" s="12"/>
      <c r="AF946" s="12"/>
      <c r="AG946" s="12"/>
      <c r="AH946" s="12"/>
      <c r="AI946" s="12"/>
    </row>
    <row r="947" spans="1:35" s="10" customFormat="1" x14ac:dyDescent="0.35">
      <c r="A947" s="12"/>
      <c r="B947" s="12"/>
      <c r="C947" s="12"/>
      <c r="D947" s="12"/>
      <c r="E947" s="12"/>
      <c r="I947" s="14"/>
      <c r="M947" s="12"/>
      <c r="T947" s="12"/>
      <c r="U947" s="12"/>
      <c r="V947" s="12"/>
      <c r="W947" s="12"/>
      <c r="X947" s="12"/>
      <c r="Y947" s="12"/>
      <c r="Z947" s="12"/>
      <c r="AA947" s="12"/>
      <c r="AB947" s="12"/>
      <c r="AC947" s="12"/>
      <c r="AD947" s="12"/>
      <c r="AE947" s="12"/>
      <c r="AF947" s="12"/>
      <c r="AG947" s="12"/>
      <c r="AH947" s="12"/>
      <c r="AI947" s="12"/>
    </row>
    <row r="948" spans="1:35" s="10" customFormat="1" x14ac:dyDescent="0.35">
      <c r="A948" s="12"/>
      <c r="B948" s="12"/>
      <c r="C948" s="12"/>
      <c r="D948" s="12"/>
      <c r="E948" s="12"/>
      <c r="I948" s="14"/>
      <c r="M948" s="12"/>
      <c r="T948" s="12"/>
      <c r="U948" s="12"/>
      <c r="V948" s="12"/>
      <c r="W948" s="12"/>
      <c r="X948" s="12"/>
      <c r="Y948" s="12"/>
      <c r="Z948" s="12"/>
      <c r="AA948" s="12"/>
      <c r="AB948" s="12"/>
      <c r="AC948" s="12"/>
      <c r="AD948" s="12"/>
      <c r="AE948" s="12"/>
      <c r="AF948" s="12"/>
      <c r="AG948" s="12"/>
      <c r="AH948" s="12"/>
      <c r="AI948" s="12"/>
    </row>
    <row r="949" spans="1:35" s="10" customFormat="1" x14ac:dyDescent="0.35">
      <c r="A949" s="12"/>
      <c r="B949" s="12"/>
      <c r="C949" s="12"/>
      <c r="D949" s="12"/>
      <c r="E949" s="12"/>
      <c r="I949" s="14"/>
      <c r="M949" s="12"/>
      <c r="T949" s="12"/>
      <c r="U949" s="12"/>
      <c r="V949" s="12"/>
      <c r="W949" s="12"/>
      <c r="X949" s="12"/>
      <c r="Y949" s="12"/>
      <c r="Z949" s="12"/>
      <c r="AA949" s="12"/>
      <c r="AB949" s="12"/>
      <c r="AC949" s="12"/>
      <c r="AD949" s="12"/>
      <c r="AE949" s="12"/>
      <c r="AF949" s="12"/>
      <c r="AG949" s="12"/>
      <c r="AH949" s="12"/>
      <c r="AI949" s="12"/>
    </row>
    <row r="950" spans="1:35" s="10" customFormat="1" x14ac:dyDescent="0.35">
      <c r="A950" s="12"/>
      <c r="B950" s="12"/>
      <c r="C950" s="12"/>
      <c r="D950" s="12"/>
      <c r="E950" s="12"/>
      <c r="I950" s="14"/>
      <c r="M950" s="12"/>
      <c r="T950" s="12"/>
      <c r="U950" s="12"/>
      <c r="V950" s="12"/>
      <c r="W950" s="12"/>
      <c r="X950" s="12"/>
      <c r="Y950" s="12"/>
      <c r="Z950" s="12"/>
      <c r="AA950" s="12"/>
      <c r="AB950" s="12"/>
      <c r="AC950" s="12"/>
      <c r="AD950" s="12"/>
      <c r="AE950" s="12"/>
      <c r="AF950" s="12"/>
      <c r="AG950" s="12"/>
      <c r="AH950" s="12"/>
      <c r="AI950" s="12"/>
    </row>
    <row r="951" spans="1:35" s="10" customFormat="1" x14ac:dyDescent="0.35">
      <c r="A951" s="12"/>
      <c r="B951" s="12"/>
      <c r="C951" s="12"/>
      <c r="D951" s="12"/>
      <c r="E951" s="12"/>
      <c r="I951" s="14"/>
      <c r="M951" s="12"/>
      <c r="T951" s="12"/>
      <c r="U951" s="12"/>
      <c r="V951" s="12"/>
      <c r="W951" s="12"/>
      <c r="X951" s="12"/>
      <c r="Y951" s="12"/>
      <c r="Z951" s="12"/>
      <c r="AA951" s="12"/>
      <c r="AB951" s="12"/>
      <c r="AC951" s="12"/>
      <c r="AD951" s="12"/>
      <c r="AE951" s="12"/>
      <c r="AF951" s="12"/>
      <c r="AG951" s="12"/>
      <c r="AH951" s="12"/>
      <c r="AI951" s="12"/>
    </row>
    <row r="952" spans="1:35" s="10" customFormat="1" x14ac:dyDescent="0.35">
      <c r="A952" s="12"/>
      <c r="B952" s="12"/>
      <c r="C952" s="12"/>
      <c r="D952" s="12"/>
      <c r="E952" s="12"/>
      <c r="I952" s="14"/>
      <c r="M952" s="12"/>
      <c r="T952" s="12"/>
      <c r="U952" s="12"/>
      <c r="V952" s="12"/>
      <c r="W952" s="12"/>
      <c r="X952" s="12"/>
      <c r="Y952" s="12"/>
      <c r="Z952" s="12"/>
      <c r="AA952" s="12"/>
      <c r="AB952" s="12"/>
      <c r="AC952" s="12"/>
      <c r="AD952" s="12"/>
      <c r="AE952" s="12"/>
      <c r="AF952" s="12"/>
      <c r="AG952" s="12"/>
      <c r="AH952" s="12"/>
      <c r="AI952" s="12"/>
    </row>
    <row r="953" spans="1:35" s="10" customFormat="1" x14ac:dyDescent="0.35">
      <c r="A953" s="12"/>
      <c r="B953" s="12"/>
      <c r="C953" s="12"/>
      <c r="D953" s="12"/>
      <c r="E953" s="12"/>
      <c r="I953" s="14"/>
      <c r="M953" s="12"/>
      <c r="T953" s="12"/>
      <c r="U953" s="12"/>
      <c r="V953" s="12"/>
      <c r="W953" s="12"/>
      <c r="X953" s="12"/>
      <c r="Y953" s="12"/>
      <c r="Z953" s="12"/>
      <c r="AA953" s="12"/>
      <c r="AB953" s="12"/>
      <c r="AC953" s="12"/>
      <c r="AD953" s="12"/>
      <c r="AE953" s="12"/>
      <c r="AF953" s="12"/>
      <c r="AG953" s="12"/>
      <c r="AH953" s="12"/>
      <c r="AI953" s="12"/>
    </row>
    <row r="954" spans="1:35" s="10" customFormat="1" x14ac:dyDescent="0.35">
      <c r="A954" s="12"/>
      <c r="B954" s="12"/>
      <c r="C954" s="12"/>
      <c r="D954" s="12"/>
      <c r="E954" s="12"/>
      <c r="I954" s="14"/>
      <c r="M954" s="12"/>
      <c r="T954" s="12"/>
      <c r="U954" s="12"/>
      <c r="V954" s="12"/>
      <c r="W954" s="12"/>
      <c r="X954" s="12"/>
      <c r="Y954" s="12"/>
      <c r="Z954" s="12"/>
      <c r="AA954" s="12"/>
      <c r="AB954" s="12"/>
      <c r="AC954" s="12"/>
      <c r="AD954" s="12"/>
      <c r="AE954" s="12"/>
      <c r="AF954" s="12"/>
      <c r="AG954" s="12"/>
      <c r="AH954" s="12"/>
      <c r="AI954" s="12"/>
    </row>
    <row r="955" spans="1:35" s="10" customFormat="1" x14ac:dyDescent="0.35">
      <c r="A955" s="12"/>
      <c r="B955" s="12"/>
      <c r="C955" s="12"/>
      <c r="D955" s="12"/>
      <c r="E955" s="12"/>
      <c r="I955" s="14"/>
      <c r="M955" s="12"/>
      <c r="T955" s="12"/>
      <c r="U955" s="12"/>
      <c r="V955" s="12"/>
      <c r="W955" s="12"/>
      <c r="X955" s="12"/>
      <c r="Y955" s="12"/>
      <c r="Z955" s="12"/>
      <c r="AA955" s="12"/>
      <c r="AB955" s="12"/>
      <c r="AC955" s="12"/>
      <c r="AD955" s="12"/>
      <c r="AE955" s="12"/>
      <c r="AF955" s="12"/>
      <c r="AG955" s="12"/>
      <c r="AH955" s="12"/>
      <c r="AI955" s="12"/>
    </row>
    <row r="956" spans="1:35" s="10" customFormat="1" x14ac:dyDescent="0.35">
      <c r="A956" s="12"/>
      <c r="B956" s="12"/>
      <c r="C956" s="12"/>
      <c r="D956" s="12"/>
      <c r="E956" s="12"/>
      <c r="I956" s="14"/>
      <c r="M956" s="12"/>
      <c r="T956" s="12"/>
      <c r="U956" s="12"/>
      <c r="V956" s="12"/>
      <c r="W956" s="12"/>
      <c r="X956" s="12"/>
      <c r="Y956" s="12"/>
      <c r="Z956" s="12"/>
      <c r="AA956" s="12"/>
      <c r="AB956" s="12"/>
      <c r="AC956" s="12"/>
      <c r="AD956" s="12"/>
      <c r="AE956" s="12"/>
      <c r="AF956" s="12"/>
      <c r="AG956" s="12"/>
      <c r="AH956" s="12"/>
      <c r="AI956" s="12"/>
    </row>
    <row r="957" spans="1:35" s="10" customFormat="1" x14ac:dyDescent="0.35">
      <c r="A957" s="12"/>
      <c r="B957" s="12"/>
      <c r="C957" s="12"/>
      <c r="D957" s="12"/>
      <c r="E957" s="12"/>
      <c r="I957" s="14"/>
      <c r="M957" s="12"/>
      <c r="T957" s="12"/>
      <c r="U957" s="12"/>
      <c r="V957" s="12"/>
      <c r="W957" s="12"/>
      <c r="X957" s="12"/>
      <c r="Y957" s="12"/>
      <c r="Z957" s="12"/>
      <c r="AA957" s="12"/>
      <c r="AB957" s="12"/>
      <c r="AC957" s="12"/>
      <c r="AD957" s="12"/>
      <c r="AE957" s="12"/>
      <c r="AF957" s="12"/>
      <c r="AG957" s="12"/>
      <c r="AH957" s="12"/>
      <c r="AI957" s="12"/>
    </row>
    <row r="958" spans="1:35" s="10" customFormat="1" x14ac:dyDescent="0.35">
      <c r="A958" s="12"/>
      <c r="B958" s="12"/>
      <c r="C958" s="12"/>
      <c r="D958" s="12"/>
      <c r="E958" s="12"/>
      <c r="I958" s="14"/>
      <c r="M958" s="12"/>
      <c r="T958" s="12"/>
      <c r="U958" s="12"/>
      <c r="V958" s="12"/>
      <c r="W958" s="12"/>
      <c r="X958" s="12"/>
      <c r="Y958" s="12"/>
      <c r="Z958" s="12"/>
      <c r="AA958" s="12"/>
      <c r="AB958" s="12"/>
      <c r="AC958" s="12"/>
      <c r="AD958" s="12"/>
      <c r="AE958" s="12"/>
      <c r="AF958" s="12"/>
      <c r="AG958" s="12"/>
      <c r="AH958" s="12"/>
      <c r="AI958" s="12"/>
    </row>
    <row r="959" spans="1:35" s="10" customFormat="1" x14ac:dyDescent="0.35">
      <c r="A959" s="12"/>
      <c r="B959" s="12"/>
      <c r="C959" s="12"/>
      <c r="D959" s="12"/>
      <c r="E959" s="12"/>
      <c r="I959" s="14"/>
      <c r="M959" s="12"/>
      <c r="T959" s="12"/>
      <c r="U959" s="12"/>
      <c r="V959" s="12"/>
      <c r="W959" s="12"/>
      <c r="X959" s="12"/>
      <c r="Y959" s="12"/>
      <c r="Z959" s="12"/>
      <c r="AA959" s="12"/>
      <c r="AB959" s="12"/>
      <c r="AC959" s="12"/>
      <c r="AD959" s="12"/>
      <c r="AE959" s="12"/>
      <c r="AF959" s="12"/>
      <c r="AG959" s="12"/>
      <c r="AH959" s="12"/>
      <c r="AI959" s="12"/>
    </row>
    <row r="960" spans="1:35" s="10" customFormat="1" x14ac:dyDescent="0.35">
      <c r="A960" s="12"/>
      <c r="B960" s="12"/>
      <c r="C960" s="12"/>
      <c r="D960" s="12"/>
      <c r="E960" s="12"/>
      <c r="I960" s="14"/>
      <c r="M960" s="12"/>
      <c r="T960" s="12"/>
      <c r="U960" s="12"/>
      <c r="V960" s="12"/>
      <c r="W960" s="12"/>
      <c r="X960" s="12"/>
      <c r="Y960" s="12"/>
      <c r="Z960" s="12"/>
      <c r="AA960" s="12"/>
      <c r="AB960" s="12"/>
      <c r="AC960" s="12"/>
      <c r="AD960" s="12"/>
      <c r="AE960" s="12"/>
      <c r="AF960" s="12"/>
      <c r="AG960" s="12"/>
      <c r="AH960" s="12"/>
      <c r="AI960" s="12"/>
    </row>
    <row r="961" spans="1:35" s="10" customFormat="1" x14ac:dyDescent="0.35">
      <c r="A961" s="12"/>
      <c r="B961" s="12"/>
      <c r="C961" s="12"/>
      <c r="D961" s="12"/>
      <c r="E961" s="12"/>
      <c r="I961" s="14"/>
      <c r="M961" s="12"/>
      <c r="T961" s="12"/>
      <c r="U961" s="12"/>
      <c r="V961" s="12"/>
      <c r="W961" s="12"/>
      <c r="X961" s="12"/>
      <c r="Y961" s="12"/>
      <c r="Z961" s="12"/>
      <c r="AA961" s="12"/>
      <c r="AB961" s="12"/>
      <c r="AC961" s="12"/>
      <c r="AD961" s="12"/>
      <c r="AE961" s="12"/>
      <c r="AF961" s="12"/>
      <c r="AG961" s="12"/>
      <c r="AH961" s="12"/>
      <c r="AI961" s="12"/>
    </row>
    <row r="962" spans="1:35" s="10" customFormat="1" x14ac:dyDescent="0.35">
      <c r="A962" s="12"/>
      <c r="B962" s="12"/>
      <c r="C962" s="12"/>
      <c r="D962" s="12"/>
      <c r="E962" s="12"/>
      <c r="I962" s="14"/>
      <c r="M962" s="12"/>
      <c r="T962" s="12"/>
      <c r="U962" s="12"/>
      <c r="V962" s="12"/>
      <c r="W962" s="12"/>
      <c r="X962" s="12"/>
      <c r="Y962" s="12"/>
      <c r="Z962" s="12"/>
      <c r="AA962" s="12"/>
      <c r="AB962" s="12"/>
      <c r="AC962" s="12"/>
      <c r="AD962" s="12"/>
      <c r="AE962" s="12"/>
      <c r="AF962" s="12"/>
      <c r="AG962" s="12"/>
      <c r="AH962" s="12"/>
      <c r="AI962" s="12"/>
    </row>
    <row r="963" spans="1:35" s="10" customFormat="1" x14ac:dyDescent="0.35">
      <c r="A963" s="12"/>
      <c r="B963" s="12"/>
      <c r="C963" s="12"/>
      <c r="D963" s="12"/>
      <c r="E963" s="12"/>
      <c r="I963" s="14"/>
      <c r="M963" s="12"/>
      <c r="T963" s="12"/>
      <c r="U963" s="12"/>
      <c r="V963" s="12"/>
      <c r="W963" s="12"/>
      <c r="X963" s="12"/>
      <c r="Y963" s="12"/>
      <c r="Z963" s="12"/>
      <c r="AA963" s="12"/>
      <c r="AB963" s="12"/>
      <c r="AC963" s="12"/>
      <c r="AD963" s="12"/>
      <c r="AE963" s="12"/>
      <c r="AF963" s="12"/>
      <c r="AG963" s="12"/>
      <c r="AH963" s="12"/>
      <c r="AI963" s="12"/>
    </row>
    <row r="964" spans="1:35" s="10" customFormat="1" x14ac:dyDescent="0.35">
      <c r="A964" s="12"/>
      <c r="B964" s="12"/>
      <c r="C964" s="12"/>
      <c r="D964" s="12"/>
      <c r="E964" s="12"/>
      <c r="I964" s="14"/>
      <c r="M964" s="12"/>
      <c r="T964" s="12"/>
      <c r="U964" s="12"/>
      <c r="V964" s="12"/>
      <c r="W964" s="12"/>
      <c r="X964" s="12"/>
      <c r="Y964" s="12"/>
      <c r="Z964" s="12"/>
      <c r="AA964" s="12"/>
      <c r="AB964" s="12"/>
      <c r="AC964" s="12"/>
      <c r="AD964" s="12"/>
      <c r="AE964" s="12"/>
      <c r="AF964" s="12"/>
      <c r="AG964" s="12"/>
      <c r="AH964" s="12"/>
      <c r="AI964" s="12"/>
    </row>
    <row r="965" spans="1:35" s="10" customFormat="1" x14ac:dyDescent="0.35">
      <c r="A965" s="12"/>
      <c r="B965" s="12"/>
      <c r="C965" s="12"/>
      <c r="D965" s="12"/>
      <c r="E965" s="12"/>
      <c r="I965" s="14"/>
      <c r="M965" s="12"/>
      <c r="T965" s="12"/>
      <c r="U965" s="12"/>
      <c r="V965" s="12"/>
      <c r="W965" s="12"/>
      <c r="X965" s="12"/>
      <c r="Y965" s="12"/>
      <c r="Z965" s="12"/>
      <c r="AA965" s="12"/>
      <c r="AB965" s="12"/>
      <c r="AC965" s="12"/>
      <c r="AD965" s="12"/>
      <c r="AE965" s="12"/>
      <c r="AF965" s="12"/>
      <c r="AG965" s="12"/>
      <c r="AH965" s="12"/>
      <c r="AI965" s="12"/>
    </row>
    <row r="966" spans="1:35" s="10" customFormat="1" x14ac:dyDescent="0.35">
      <c r="A966" s="12"/>
      <c r="B966" s="12"/>
      <c r="C966" s="12"/>
      <c r="D966" s="12"/>
      <c r="E966" s="12"/>
      <c r="I966" s="14"/>
      <c r="M966" s="12"/>
      <c r="T966" s="12"/>
      <c r="U966" s="12"/>
      <c r="V966" s="12"/>
      <c r="W966" s="12"/>
      <c r="X966" s="12"/>
      <c r="Y966" s="12"/>
      <c r="Z966" s="12"/>
      <c r="AA966" s="12"/>
      <c r="AB966" s="12"/>
      <c r="AC966" s="12"/>
      <c r="AD966" s="12"/>
      <c r="AE966" s="12"/>
      <c r="AF966" s="12"/>
      <c r="AG966" s="12"/>
      <c r="AH966" s="12"/>
      <c r="AI966" s="12"/>
    </row>
    <row r="967" spans="1:35" s="10" customFormat="1" x14ac:dyDescent="0.35">
      <c r="A967" s="12"/>
      <c r="B967" s="12"/>
      <c r="C967" s="12"/>
      <c r="D967" s="12"/>
      <c r="E967" s="12"/>
      <c r="I967" s="14"/>
      <c r="M967" s="12"/>
      <c r="T967" s="12"/>
      <c r="U967" s="12"/>
      <c r="V967" s="12"/>
      <c r="W967" s="12"/>
      <c r="X967" s="12"/>
      <c r="Y967" s="12"/>
      <c r="Z967" s="12"/>
      <c r="AA967" s="12"/>
      <c r="AB967" s="12"/>
      <c r="AC967" s="12"/>
      <c r="AD967" s="12"/>
      <c r="AE967" s="12"/>
      <c r="AF967" s="12"/>
      <c r="AG967" s="12"/>
      <c r="AH967" s="12"/>
      <c r="AI967" s="12"/>
    </row>
    <row r="968" spans="1:35" s="10" customFormat="1" x14ac:dyDescent="0.35">
      <c r="A968" s="12"/>
      <c r="B968" s="12"/>
      <c r="C968" s="12"/>
      <c r="D968" s="12"/>
      <c r="E968" s="12"/>
      <c r="I968" s="14"/>
      <c r="M968" s="12"/>
      <c r="T968" s="12"/>
      <c r="U968" s="12"/>
      <c r="V968" s="12"/>
      <c r="W968" s="12"/>
      <c r="X968" s="12"/>
      <c r="Y968" s="12"/>
      <c r="Z968" s="12"/>
      <c r="AA968" s="12"/>
      <c r="AB968" s="12"/>
      <c r="AC968" s="12"/>
      <c r="AD968" s="12"/>
      <c r="AE968" s="12"/>
      <c r="AF968" s="12"/>
      <c r="AG968" s="12"/>
      <c r="AH968" s="12"/>
      <c r="AI968" s="12"/>
    </row>
    <row r="969" spans="1:35" s="10" customFormat="1" x14ac:dyDescent="0.35">
      <c r="A969" s="12"/>
      <c r="B969" s="12"/>
      <c r="C969" s="12"/>
      <c r="D969" s="12"/>
      <c r="E969" s="12"/>
      <c r="I969" s="14"/>
      <c r="M969" s="12"/>
      <c r="T969" s="12"/>
      <c r="U969" s="12"/>
      <c r="V969" s="12"/>
      <c r="W969" s="12"/>
      <c r="X969" s="12"/>
      <c r="Y969" s="12"/>
      <c r="Z969" s="12"/>
      <c r="AA969" s="12"/>
      <c r="AB969" s="12"/>
      <c r="AC969" s="12"/>
      <c r="AD969" s="12"/>
      <c r="AE969" s="12"/>
      <c r="AF969" s="12"/>
      <c r="AG969" s="12"/>
      <c r="AH969" s="12"/>
      <c r="AI969" s="12"/>
    </row>
    <row r="970" spans="1:35" s="10" customFormat="1" x14ac:dyDescent="0.35">
      <c r="A970" s="12"/>
      <c r="B970" s="12"/>
      <c r="C970" s="12"/>
      <c r="D970" s="12"/>
      <c r="E970" s="12"/>
      <c r="I970" s="14"/>
      <c r="M970" s="12"/>
      <c r="T970" s="12"/>
      <c r="U970" s="12"/>
      <c r="V970" s="12"/>
      <c r="W970" s="12"/>
      <c r="X970" s="12"/>
      <c r="Y970" s="12"/>
      <c r="Z970" s="12"/>
      <c r="AA970" s="12"/>
      <c r="AB970" s="12"/>
      <c r="AC970" s="12"/>
      <c r="AD970" s="12"/>
      <c r="AE970" s="12"/>
      <c r="AF970" s="12"/>
      <c r="AG970" s="12"/>
      <c r="AH970" s="12"/>
      <c r="AI970" s="12"/>
    </row>
    <row r="971" spans="1:35" s="10" customFormat="1" x14ac:dyDescent="0.35">
      <c r="A971" s="12"/>
      <c r="B971" s="12"/>
      <c r="C971" s="12"/>
      <c r="D971" s="12"/>
      <c r="E971" s="12"/>
      <c r="I971" s="14"/>
      <c r="M971" s="12"/>
      <c r="T971" s="12"/>
      <c r="U971" s="12"/>
      <c r="V971" s="12"/>
      <c r="W971" s="12"/>
      <c r="X971" s="12"/>
      <c r="Y971" s="12"/>
      <c r="Z971" s="12"/>
      <c r="AA971" s="12"/>
      <c r="AB971" s="12"/>
      <c r="AC971" s="12"/>
      <c r="AD971" s="12"/>
      <c r="AE971" s="12"/>
      <c r="AF971" s="12"/>
      <c r="AG971" s="12"/>
      <c r="AH971" s="12"/>
      <c r="AI971" s="12"/>
    </row>
    <row r="972" spans="1:35" s="10" customFormat="1" x14ac:dyDescent="0.35">
      <c r="A972" s="12"/>
      <c r="B972" s="12"/>
      <c r="C972" s="12"/>
      <c r="D972" s="12"/>
      <c r="E972" s="12"/>
      <c r="I972" s="14"/>
      <c r="M972" s="12"/>
      <c r="T972" s="12"/>
      <c r="U972" s="12"/>
      <c r="V972" s="12"/>
      <c r="W972" s="12"/>
      <c r="X972" s="12"/>
      <c r="Y972" s="12"/>
      <c r="Z972" s="12"/>
      <c r="AA972" s="12"/>
      <c r="AB972" s="12"/>
      <c r="AC972" s="12"/>
      <c r="AD972" s="12"/>
      <c r="AE972" s="12"/>
      <c r="AF972" s="12"/>
      <c r="AG972" s="12"/>
      <c r="AH972" s="12"/>
      <c r="AI972" s="12"/>
    </row>
    <row r="973" spans="1:35" s="10" customFormat="1" x14ac:dyDescent="0.35">
      <c r="A973" s="12"/>
      <c r="B973" s="12"/>
      <c r="C973" s="12"/>
      <c r="D973" s="12"/>
      <c r="E973" s="12"/>
      <c r="I973" s="14"/>
      <c r="M973" s="12"/>
      <c r="T973" s="12"/>
      <c r="U973" s="12"/>
      <c r="V973" s="12"/>
      <c r="W973" s="12"/>
      <c r="X973" s="12"/>
      <c r="Y973" s="12"/>
      <c r="Z973" s="12"/>
      <c r="AA973" s="12"/>
      <c r="AB973" s="12"/>
      <c r="AC973" s="12"/>
      <c r="AD973" s="12"/>
      <c r="AE973" s="12"/>
      <c r="AF973" s="12"/>
      <c r="AG973" s="12"/>
      <c r="AH973" s="12"/>
      <c r="AI973" s="12"/>
    </row>
    <row r="974" spans="1:35" s="10" customFormat="1" x14ac:dyDescent="0.35">
      <c r="A974" s="12"/>
      <c r="B974" s="12"/>
      <c r="C974" s="12"/>
      <c r="D974" s="12"/>
      <c r="E974" s="12"/>
      <c r="I974" s="14"/>
      <c r="M974" s="12"/>
      <c r="T974" s="12"/>
      <c r="U974" s="12"/>
      <c r="V974" s="12"/>
      <c r="W974" s="12"/>
      <c r="X974" s="12"/>
      <c r="Y974" s="12"/>
      <c r="Z974" s="12"/>
      <c r="AA974" s="12"/>
      <c r="AB974" s="12"/>
      <c r="AC974" s="12"/>
      <c r="AD974" s="12"/>
      <c r="AE974" s="12"/>
      <c r="AF974" s="12"/>
      <c r="AG974" s="12"/>
      <c r="AH974" s="12"/>
      <c r="AI974" s="12"/>
    </row>
    <row r="975" spans="1:35" s="10" customFormat="1" x14ac:dyDescent="0.35">
      <c r="A975" s="12"/>
      <c r="B975" s="12"/>
      <c r="C975" s="12"/>
      <c r="D975" s="12"/>
      <c r="E975" s="12"/>
      <c r="I975" s="14"/>
      <c r="M975" s="12"/>
      <c r="T975" s="12"/>
      <c r="U975" s="12"/>
      <c r="V975" s="12"/>
      <c r="W975" s="12"/>
      <c r="X975" s="12"/>
      <c r="Y975" s="12"/>
      <c r="Z975" s="12"/>
      <c r="AA975" s="12"/>
      <c r="AB975" s="12"/>
      <c r="AC975" s="12"/>
      <c r="AD975" s="12"/>
      <c r="AE975" s="12"/>
      <c r="AF975" s="12"/>
      <c r="AG975" s="12"/>
      <c r="AH975" s="12"/>
      <c r="AI975" s="12"/>
    </row>
    <row r="976" spans="1:35" s="10" customFormat="1" x14ac:dyDescent="0.35">
      <c r="A976" s="12"/>
      <c r="B976" s="12"/>
      <c r="C976" s="12"/>
      <c r="D976" s="12"/>
      <c r="E976" s="12"/>
      <c r="I976" s="14"/>
      <c r="M976" s="12"/>
      <c r="T976" s="12"/>
      <c r="U976" s="12"/>
      <c r="V976" s="12"/>
      <c r="W976" s="12"/>
      <c r="X976" s="12"/>
      <c r="Y976" s="12"/>
      <c r="Z976" s="12"/>
      <c r="AA976" s="12"/>
      <c r="AB976" s="12"/>
      <c r="AC976" s="12"/>
      <c r="AD976" s="12"/>
      <c r="AE976" s="12"/>
      <c r="AF976" s="12"/>
      <c r="AG976" s="12"/>
      <c r="AH976" s="12"/>
      <c r="AI976" s="12"/>
    </row>
    <row r="977" spans="1:35" s="10" customFormat="1" x14ac:dyDescent="0.35">
      <c r="A977" s="12"/>
      <c r="B977" s="12"/>
      <c r="C977" s="12"/>
      <c r="D977" s="12"/>
      <c r="E977" s="12"/>
      <c r="I977" s="14"/>
      <c r="M977" s="12"/>
      <c r="T977" s="12"/>
      <c r="U977" s="12"/>
      <c r="V977" s="12"/>
      <c r="W977" s="12"/>
      <c r="X977" s="12"/>
      <c r="Y977" s="12"/>
      <c r="Z977" s="12"/>
      <c r="AA977" s="12"/>
      <c r="AB977" s="12"/>
      <c r="AC977" s="12"/>
      <c r="AD977" s="12"/>
      <c r="AE977" s="12"/>
      <c r="AF977" s="12"/>
      <c r="AG977" s="12"/>
      <c r="AH977" s="12"/>
      <c r="AI977" s="12"/>
    </row>
    <row r="978" spans="1:35" s="10" customFormat="1" x14ac:dyDescent="0.35">
      <c r="A978" s="12"/>
      <c r="B978" s="12"/>
      <c r="C978" s="12"/>
      <c r="D978" s="12"/>
      <c r="E978" s="12"/>
      <c r="I978" s="14"/>
      <c r="M978" s="12"/>
      <c r="T978" s="12"/>
      <c r="U978" s="12"/>
      <c r="V978" s="12"/>
      <c r="W978" s="12"/>
      <c r="X978" s="12"/>
      <c r="Y978" s="12"/>
      <c r="Z978" s="12"/>
      <c r="AA978" s="12"/>
      <c r="AB978" s="12"/>
      <c r="AC978" s="12"/>
      <c r="AD978" s="12"/>
      <c r="AE978" s="12"/>
      <c r="AF978" s="12"/>
      <c r="AG978" s="12"/>
      <c r="AH978" s="12"/>
      <c r="AI978" s="12"/>
    </row>
    <row r="979" spans="1:35" s="10" customFormat="1" x14ac:dyDescent="0.35">
      <c r="A979" s="12"/>
      <c r="B979" s="12"/>
      <c r="C979" s="12"/>
      <c r="D979" s="12"/>
      <c r="E979" s="12"/>
      <c r="I979" s="14"/>
      <c r="M979" s="12"/>
      <c r="T979" s="12"/>
      <c r="U979" s="12"/>
      <c r="V979" s="12"/>
      <c r="W979" s="12"/>
      <c r="X979" s="12"/>
      <c r="Y979" s="12"/>
      <c r="Z979" s="12"/>
      <c r="AA979" s="12"/>
      <c r="AB979" s="12"/>
      <c r="AC979" s="12"/>
      <c r="AD979" s="12"/>
      <c r="AE979" s="12"/>
      <c r="AF979" s="12"/>
      <c r="AG979" s="12"/>
      <c r="AH979" s="12"/>
      <c r="AI979" s="12"/>
    </row>
    <row r="980" spans="1:35" s="10" customFormat="1" x14ac:dyDescent="0.35">
      <c r="A980" s="12"/>
      <c r="B980" s="12"/>
      <c r="C980" s="12"/>
      <c r="D980" s="12"/>
      <c r="E980" s="12"/>
      <c r="I980" s="14"/>
      <c r="M980" s="12"/>
      <c r="T980" s="12"/>
      <c r="U980" s="12"/>
      <c r="V980" s="12"/>
      <c r="W980" s="12"/>
      <c r="X980" s="12"/>
      <c r="Y980" s="12"/>
      <c r="Z980" s="12"/>
      <c r="AA980" s="12"/>
      <c r="AB980" s="12"/>
      <c r="AC980" s="12"/>
      <c r="AD980" s="12"/>
      <c r="AE980" s="12"/>
      <c r="AF980" s="12"/>
      <c r="AG980" s="12"/>
      <c r="AH980" s="12"/>
      <c r="AI980" s="12"/>
    </row>
    <row r="981" spans="1:35" s="10" customFormat="1" x14ac:dyDescent="0.35">
      <c r="A981" s="12"/>
      <c r="B981" s="12"/>
      <c r="C981" s="12"/>
      <c r="D981" s="12"/>
      <c r="E981" s="12"/>
      <c r="I981" s="14"/>
      <c r="M981" s="12"/>
      <c r="T981" s="12"/>
      <c r="U981" s="12"/>
      <c r="V981" s="12"/>
      <c r="W981" s="12"/>
      <c r="X981" s="12"/>
      <c r="Y981" s="12"/>
      <c r="Z981" s="12"/>
      <c r="AA981" s="12"/>
      <c r="AB981" s="12"/>
      <c r="AC981" s="12"/>
      <c r="AD981" s="12"/>
      <c r="AE981" s="12"/>
      <c r="AF981" s="12"/>
      <c r="AG981" s="12"/>
      <c r="AH981" s="12"/>
      <c r="AI981" s="12"/>
    </row>
    <row r="982" spans="1:35" s="10" customFormat="1" x14ac:dyDescent="0.35">
      <c r="A982" s="12"/>
      <c r="B982" s="12"/>
      <c r="C982" s="12"/>
      <c r="D982" s="12"/>
      <c r="E982" s="12"/>
      <c r="I982" s="14"/>
      <c r="M982" s="12"/>
      <c r="T982" s="12"/>
      <c r="U982" s="12"/>
      <c r="V982" s="12"/>
      <c r="W982" s="12"/>
      <c r="X982" s="12"/>
      <c r="Y982" s="12"/>
      <c r="Z982" s="12"/>
      <c r="AA982" s="12"/>
      <c r="AB982" s="12"/>
      <c r="AC982" s="12"/>
      <c r="AD982" s="12"/>
      <c r="AE982" s="12"/>
      <c r="AF982" s="12"/>
      <c r="AG982" s="12"/>
      <c r="AH982" s="12"/>
      <c r="AI982" s="12"/>
    </row>
    <row r="983" spans="1:35" s="10" customFormat="1" x14ac:dyDescent="0.35">
      <c r="A983" s="12"/>
      <c r="B983" s="12"/>
      <c r="C983" s="12"/>
      <c r="D983" s="12"/>
      <c r="E983" s="12"/>
      <c r="I983" s="14"/>
      <c r="M983" s="12"/>
      <c r="T983" s="12"/>
      <c r="U983" s="12"/>
      <c r="V983" s="12"/>
      <c r="W983" s="12"/>
      <c r="X983" s="12"/>
      <c r="Y983" s="12"/>
      <c r="Z983" s="12"/>
      <c r="AA983" s="12"/>
      <c r="AB983" s="12"/>
      <c r="AC983" s="12"/>
      <c r="AD983" s="12"/>
      <c r="AE983" s="12"/>
      <c r="AF983" s="12"/>
      <c r="AG983" s="12"/>
      <c r="AH983" s="12"/>
      <c r="AI983" s="12"/>
    </row>
    <row r="984" spans="1:35" s="10" customFormat="1" x14ac:dyDescent="0.35">
      <c r="A984" s="12"/>
      <c r="B984" s="12"/>
      <c r="C984" s="12"/>
      <c r="D984" s="12"/>
      <c r="E984" s="12"/>
      <c r="I984" s="14"/>
      <c r="M984" s="12"/>
      <c r="T984" s="12"/>
      <c r="U984" s="12"/>
      <c r="V984" s="12"/>
      <c r="W984" s="12"/>
      <c r="X984" s="12"/>
      <c r="Y984" s="12"/>
      <c r="Z984" s="12"/>
      <c r="AA984" s="12"/>
      <c r="AB984" s="12"/>
      <c r="AC984" s="12"/>
      <c r="AD984" s="12"/>
      <c r="AE984" s="12"/>
      <c r="AF984" s="12"/>
      <c r="AG984" s="12"/>
      <c r="AH984" s="12"/>
      <c r="AI984" s="12"/>
    </row>
    <row r="985" spans="1:35" s="10" customFormat="1" x14ac:dyDescent="0.35">
      <c r="A985" s="12"/>
      <c r="B985" s="12"/>
      <c r="C985" s="12"/>
      <c r="D985" s="12"/>
      <c r="E985" s="12"/>
      <c r="I985" s="14"/>
      <c r="M985" s="12"/>
      <c r="T985" s="12"/>
      <c r="U985" s="12"/>
      <c r="V985" s="12"/>
      <c r="W985" s="12"/>
      <c r="X985" s="12"/>
      <c r="Y985" s="12"/>
      <c r="Z985" s="12"/>
      <c r="AA985" s="12"/>
      <c r="AB985" s="12"/>
      <c r="AC985" s="12"/>
      <c r="AD985" s="12"/>
      <c r="AE985" s="12"/>
      <c r="AF985" s="12"/>
      <c r="AG985" s="12"/>
      <c r="AH985" s="12"/>
      <c r="AI985" s="12"/>
    </row>
    <row r="986" spans="1:35" s="10" customFormat="1" x14ac:dyDescent="0.35">
      <c r="A986" s="12"/>
      <c r="B986" s="12"/>
      <c r="C986" s="12"/>
      <c r="D986" s="12"/>
      <c r="E986" s="12"/>
      <c r="I986" s="14"/>
      <c r="M986" s="12"/>
      <c r="T986" s="12"/>
      <c r="U986" s="12"/>
      <c r="V986" s="12"/>
      <c r="W986" s="12"/>
      <c r="X986" s="12"/>
      <c r="Y986" s="12"/>
      <c r="Z986" s="12"/>
      <c r="AA986" s="12"/>
      <c r="AB986" s="12"/>
      <c r="AC986" s="12"/>
      <c r="AD986" s="12"/>
      <c r="AE986" s="12"/>
      <c r="AF986" s="12"/>
      <c r="AG986" s="12"/>
      <c r="AH986" s="12"/>
      <c r="AI986" s="12"/>
    </row>
    <row r="987" spans="1:35" s="10" customFormat="1" x14ac:dyDescent="0.35">
      <c r="A987" s="12"/>
      <c r="B987" s="12"/>
      <c r="C987" s="12"/>
      <c r="D987" s="12"/>
      <c r="E987" s="12"/>
      <c r="I987" s="14"/>
      <c r="M987" s="12"/>
      <c r="T987" s="12"/>
      <c r="U987" s="12"/>
      <c r="V987" s="12"/>
      <c r="W987" s="12"/>
      <c r="X987" s="12"/>
      <c r="Y987" s="12"/>
      <c r="Z987" s="12"/>
      <c r="AA987" s="12"/>
      <c r="AB987" s="12"/>
      <c r="AC987" s="12"/>
      <c r="AD987" s="12"/>
      <c r="AE987" s="12"/>
      <c r="AF987" s="12"/>
      <c r="AG987" s="12"/>
      <c r="AH987" s="12"/>
      <c r="AI987" s="12"/>
    </row>
    <row r="988" spans="1:35" s="10" customFormat="1" x14ac:dyDescent="0.35">
      <c r="A988" s="12"/>
      <c r="B988" s="12"/>
      <c r="C988" s="12"/>
      <c r="D988" s="12"/>
      <c r="E988" s="12"/>
      <c r="I988" s="14"/>
      <c r="M988" s="12"/>
      <c r="T988" s="12"/>
      <c r="U988" s="12"/>
      <c r="V988" s="12"/>
      <c r="W988" s="12"/>
      <c r="X988" s="12"/>
      <c r="Y988" s="12"/>
      <c r="Z988" s="12"/>
      <c r="AA988" s="12"/>
      <c r="AB988" s="12"/>
      <c r="AC988" s="12"/>
      <c r="AD988" s="12"/>
      <c r="AE988" s="12"/>
      <c r="AF988" s="12"/>
      <c r="AG988" s="12"/>
      <c r="AH988" s="12"/>
      <c r="AI988" s="12"/>
    </row>
    <row r="989" spans="1:35" s="10" customFormat="1" x14ac:dyDescent="0.35">
      <c r="A989" s="12"/>
      <c r="B989" s="12"/>
      <c r="C989" s="12"/>
      <c r="D989" s="12"/>
      <c r="E989" s="12"/>
      <c r="I989" s="14"/>
      <c r="M989" s="12"/>
      <c r="T989" s="12"/>
      <c r="U989" s="12"/>
      <c r="V989" s="12"/>
      <c r="W989" s="12"/>
      <c r="X989" s="12"/>
      <c r="Y989" s="12"/>
      <c r="Z989" s="12"/>
      <c r="AA989" s="12"/>
      <c r="AB989" s="12"/>
      <c r="AC989" s="12"/>
      <c r="AD989" s="12"/>
      <c r="AE989" s="12"/>
      <c r="AF989" s="12"/>
      <c r="AG989" s="12"/>
      <c r="AH989" s="12"/>
      <c r="AI989" s="12"/>
    </row>
    <row r="990" spans="1:35" s="10" customFormat="1" x14ac:dyDescent="0.35">
      <c r="A990" s="12"/>
      <c r="B990" s="12"/>
      <c r="C990" s="12"/>
      <c r="D990" s="12"/>
      <c r="E990" s="12"/>
      <c r="I990" s="14"/>
      <c r="M990" s="12"/>
      <c r="T990" s="12"/>
      <c r="U990" s="12"/>
      <c r="V990" s="12"/>
      <c r="W990" s="12"/>
      <c r="X990" s="12"/>
      <c r="Y990" s="12"/>
      <c r="Z990" s="12"/>
      <c r="AA990" s="12"/>
      <c r="AB990" s="12"/>
      <c r="AC990" s="12"/>
      <c r="AD990" s="12"/>
      <c r="AE990" s="12"/>
      <c r="AF990" s="12"/>
      <c r="AG990" s="12"/>
      <c r="AH990" s="12"/>
      <c r="AI990" s="12"/>
    </row>
    <row r="991" spans="1:35" s="10" customFormat="1" x14ac:dyDescent="0.35">
      <c r="A991" s="12"/>
      <c r="B991" s="12"/>
      <c r="C991" s="12"/>
      <c r="D991" s="12"/>
      <c r="E991" s="12"/>
      <c r="I991" s="14"/>
      <c r="M991" s="12"/>
      <c r="T991" s="12"/>
      <c r="U991" s="12"/>
      <c r="V991" s="12"/>
      <c r="W991" s="12"/>
      <c r="X991" s="12"/>
      <c r="Y991" s="12"/>
      <c r="Z991" s="12"/>
      <c r="AA991" s="12"/>
      <c r="AB991" s="12"/>
      <c r="AC991" s="12"/>
      <c r="AD991" s="12"/>
      <c r="AE991" s="12"/>
      <c r="AF991" s="12"/>
      <c r="AG991" s="12"/>
      <c r="AH991" s="12"/>
      <c r="AI991" s="12"/>
    </row>
    <row r="992" spans="1:35" s="10" customFormat="1" x14ac:dyDescent="0.35">
      <c r="A992" s="12"/>
      <c r="B992" s="12"/>
      <c r="C992" s="12"/>
      <c r="D992" s="12"/>
      <c r="E992" s="12"/>
      <c r="I992" s="14"/>
      <c r="M992" s="12"/>
      <c r="T992" s="12"/>
      <c r="U992" s="12"/>
      <c r="V992" s="12"/>
      <c r="W992" s="12"/>
      <c r="X992" s="12"/>
      <c r="Y992" s="12"/>
      <c r="Z992" s="12"/>
      <c r="AA992" s="12"/>
      <c r="AB992" s="12"/>
      <c r="AC992" s="12"/>
      <c r="AD992" s="12"/>
      <c r="AE992" s="12"/>
      <c r="AF992" s="12"/>
      <c r="AG992" s="12"/>
      <c r="AH992" s="12"/>
      <c r="AI992" s="12"/>
    </row>
    <row r="993" spans="1:35" s="10" customFormat="1" x14ac:dyDescent="0.35">
      <c r="A993" s="12"/>
      <c r="B993" s="12"/>
      <c r="C993" s="12"/>
      <c r="D993" s="12"/>
      <c r="E993" s="12"/>
      <c r="I993" s="14"/>
      <c r="M993" s="12"/>
      <c r="T993" s="12"/>
      <c r="U993" s="12"/>
      <c r="V993" s="12"/>
      <c r="W993" s="12"/>
      <c r="X993" s="12"/>
      <c r="Y993" s="12"/>
      <c r="Z993" s="12"/>
      <c r="AA993" s="12"/>
      <c r="AB993" s="12"/>
      <c r="AC993" s="12"/>
      <c r="AD993" s="12"/>
      <c r="AE993" s="12"/>
      <c r="AF993" s="12"/>
      <c r="AG993" s="12"/>
      <c r="AH993" s="12"/>
      <c r="AI993" s="12"/>
    </row>
    <row r="994" spans="1:35" s="10" customFormat="1" x14ac:dyDescent="0.35">
      <c r="A994" s="12"/>
      <c r="B994" s="12"/>
      <c r="C994" s="12"/>
      <c r="D994" s="12"/>
      <c r="E994" s="12"/>
      <c r="I994" s="14"/>
      <c r="M994" s="12"/>
      <c r="T994" s="12"/>
      <c r="U994" s="12"/>
      <c r="V994" s="12"/>
      <c r="W994" s="12"/>
      <c r="X994" s="12"/>
      <c r="Y994" s="12"/>
      <c r="Z994" s="12"/>
      <c r="AA994" s="12"/>
      <c r="AB994" s="12"/>
      <c r="AC994" s="12"/>
      <c r="AD994" s="12"/>
      <c r="AE994" s="12"/>
      <c r="AF994" s="12"/>
      <c r="AG994" s="12"/>
      <c r="AH994" s="12"/>
      <c r="AI994" s="12"/>
    </row>
    <row r="995" spans="1:35" s="10" customFormat="1" x14ac:dyDescent="0.35">
      <c r="A995" s="12"/>
      <c r="B995" s="12"/>
      <c r="C995" s="12"/>
      <c r="D995" s="12"/>
      <c r="E995" s="12"/>
      <c r="I995" s="14"/>
      <c r="M995" s="12"/>
      <c r="T995" s="12"/>
      <c r="U995" s="12"/>
      <c r="V995" s="12"/>
      <c r="W995" s="12"/>
      <c r="X995" s="12"/>
      <c r="Y995" s="12"/>
      <c r="Z995" s="12"/>
      <c r="AA995" s="12"/>
      <c r="AB995" s="12"/>
      <c r="AC995" s="12"/>
      <c r="AD995" s="12"/>
      <c r="AE995" s="12"/>
      <c r="AF995" s="12"/>
      <c r="AG995" s="12"/>
      <c r="AH995" s="12"/>
      <c r="AI995" s="12"/>
    </row>
    <row r="996" spans="1:35" s="10" customFormat="1" x14ac:dyDescent="0.35">
      <c r="A996" s="12"/>
      <c r="B996" s="12"/>
      <c r="C996" s="12"/>
      <c r="D996" s="12"/>
      <c r="E996" s="12"/>
      <c r="I996" s="14"/>
      <c r="M996" s="12"/>
      <c r="T996" s="12"/>
      <c r="U996" s="12"/>
      <c r="V996" s="12"/>
      <c r="W996" s="12"/>
      <c r="X996" s="12"/>
      <c r="Y996" s="12"/>
      <c r="Z996" s="12"/>
      <c r="AA996" s="12"/>
      <c r="AB996" s="12"/>
      <c r="AC996" s="12"/>
      <c r="AD996" s="12"/>
      <c r="AE996" s="12"/>
      <c r="AF996" s="12"/>
      <c r="AG996" s="12"/>
      <c r="AH996" s="12"/>
      <c r="AI996" s="12"/>
    </row>
    <row r="997" spans="1:35" s="10" customFormat="1" x14ac:dyDescent="0.35">
      <c r="A997" s="12"/>
      <c r="B997" s="12"/>
      <c r="C997" s="12"/>
      <c r="D997" s="12"/>
      <c r="E997" s="12"/>
      <c r="I997" s="14"/>
      <c r="M997" s="12"/>
      <c r="T997" s="12"/>
      <c r="U997" s="12"/>
      <c r="V997" s="12"/>
      <c r="W997" s="12"/>
      <c r="X997" s="12"/>
      <c r="Y997" s="12"/>
      <c r="Z997" s="12"/>
      <c r="AA997" s="12"/>
      <c r="AB997" s="12"/>
      <c r="AC997" s="12"/>
      <c r="AD997" s="12"/>
      <c r="AE997" s="12"/>
      <c r="AF997" s="12"/>
      <c r="AG997" s="12"/>
      <c r="AH997" s="12"/>
      <c r="AI997" s="12"/>
    </row>
    <row r="998" spans="1:35" s="10" customFormat="1" x14ac:dyDescent="0.35">
      <c r="A998" s="12"/>
      <c r="B998" s="12"/>
      <c r="C998" s="12"/>
      <c r="D998" s="12"/>
      <c r="E998" s="12"/>
      <c r="I998" s="14"/>
      <c r="M998" s="12"/>
      <c r="T998" s="12"/>
      <c r="U998" s="12"/>
      <c r="V998" s="12"/>
      <c r="W998" s="12"/>
      <c r="X998" s="12"/>
      <c r="Y998" s="12"/>
      <c r="Z998" s="12"/>
      <c r="AA998" s="12"/>
      <c r="AB998" s="12"/>
      <c r="AC998" s="12"/>
      <c r="AD998" s="12"/>
      <c r="AE998" s="12"/>
      <c r="AF998" s="12"/>
      <c r="AG998" s="12"/>
      <c r="AH998" s="12"/>
      <c r="AI998" s="12"/>
    </row>
    <row r="999" spans="1:35" s="10" customFormat="1" x14ac:dyDescent="0.35">
      <c r="A999" s="12"/>
      <c r="B999" s="12"/>
      <c r="C999" s="12"/>
      <c r="D999" s="12"/>
      <c r="E999" s="12"/>
      <c r="I999" s="14"/>
      <c r="M999" s="12"/>
      <c r="T999" s="12"/>
      <c r="U999" s="12"/>
      <c r="V999" s="12"/>
      <c r="W999" s="12"/>
      <c r="X999" s="12"/>
      <c r="Y999" s="12"/>
      <c r="Z999" s="12"/>
      <c r="AA999" s="12"/>
      <c r="AB999" s="12"/>
      <c r="AC999" s="12"/>
      <c r="AD999" s="12"/>
      <c r="AE999" s="12"/>
      <c r="AF999" s="12"/>
      <c r="AG999" s="12"/>
      <c r="AH999" s="12"/>
      <c r="AI999" s="12"/>
    </row>
    <row r="1000" spans="1:35" s="10" customFormat="1" x14ac:dyDescent="0.35">
      <c r="A1000" s="12"/>
      <c r="B1000" s="12"/>
      <c r="C1000" s="12"/>
      <c r="D1000" s="12"/>
      <c r="E1000" s="12"/>
      <c r="I1000" s="14"/>
      <c r="M1000" s="12"/>
      <c r="T1000" s="12"/>
      <c r="U1000" s="12"/>
      <c r="V1000" s="12"/>
      <c r="W1000" s="12"/>
      <c r="X1000" s="12"/>
      <c r="Y1000" s="12"/>
      <c r="Z1000" s="12"/>
      <c r="AA1000" s="12"/>
      <c r="AB1000" s="12"/>
      <c r="AC1000" s="12"/>
      <c r="AD1000" s="12"/>
      <c r="AE1000" s="12"/>
      <c r="AF1000" s="12"/>
      <c r="AG1000" s="12"/>
      <c r="AH1000" s="12"/>
      <c r="AI1000" s="12"/>
    </row>
    <row r="1001" spans="1:35" s="10" customFormat="1" x14ac:dyDescent="0.35">
      <c r="A1001" s="12"/>
      <c r="B1001" s="12"/>
      <c r="C1001" s="12"/>
      <c r="D1001" s="12"/>
      <c r="E1001" s="12"/>
      <c r="I1001" s="14"/>
      <c r="M1001" s="12"/>
      <c r="T1001" s="12"/>
      <c r="U1001" s="12"/>
      <c r="V1001" s="12"/>
      <c r="W1001" s="12"/>
      <c r="X1001" s="12"/>
      <c r="Y1001" s="12"/>
      <c r="Z1001" s="12"/>
      <c r="AA1001" s="12"/>
      <c r="AB1001" s="12"/>
      <c r="AC1001" s="12"/>
      <c r="AD1001" s="12"/>
      <c r="AE1001" s="12"/>
      <c r="AF1001" s="12"/>
      <c r="AG1001" s="12"/>
      <c r="AH1001" s="12"/>
      <c r="AI1001" s="12"/>
    </row>
    <row r="1002" spans="1:35" s="10" customFormat="1" x14ac:dyDescent="0.35">
      <c r="A1002" s="12"/>
      <c r="B1002" s="12"/>
      <c r="C1002" s="12"/>
      <c r="D1002" s="12"/>
      <c r="E1002" s="12"/>
      <c r="I1002" s="14"/>
      <c r="M1002" s="12"/>
      <c r="T1002" s="12"/>
      <c r="U1002" s="12"/>
      <c r="V1002" s="12"/>
      <c r="W1002" s="12"/>
      <c r="X1002" s="12"/>
      <c r="Y1002" s="12"/>
      <c r="Z1002" s="12"/>
      <c r="AA1002" s="12"/>
      <c r="AB1002" s="12"/>
      <c r="AC1002" s="12"/>
      <c r="AD1002" s="12"/>
      <c r="AE1002" s="12"/>
      <c r="AF1002" s="12"/>
      <c r="AG1002" s="12"/>
      <c r="AH1002" s="12"/>
      <c r="AI1002" s="12"/>
    </row>
    <row r="1003" spans="1:35" s="10" customFormat="1" x14ac:dyDescent="0.35">
      <c r="A1003" s="12"/>
      <c r="B1003" s="12"/>
      <c r="C1003" s="12"/>
      <c r="D1003" s="12"/>
      <c r="E1003" s="12"/>
      <c r="I1003" s="14"/>
      <c r="M1003" s="12"/>
      <c r="T1003" s="12"/>
      <c r="U1003" s="12"/>
      <c r="V1003" s="12"/>
      <c r="W1003" s="12"/>
      <c r="X1003" s="12"/>
      <c r="Y1003" s="12"/>
      <c r="Z1003" s="12"/>
      <c r="AA1003" s="12"/>
      <c r="AB1003" s="12"/>
      <c r="AC1003" s="12"/>
      <c r="AD1003" s="12"/>
      <c r="AE1003" s="12"/>
      <c r="AF1003" s="12"/>
      <c r="AG1003" s="12"/>
      <c r="AH1003" s="12"/>
      <c r="AI1003" s="12"/>
    </row>
    <row r="1004" spans="1:35" s="10" customFormat="1" x14ac:dyDescent="0.35">
      <c r="A1004" s="12"/>
      <c r="B1004" s="12"/>
      <c r="C1004" s="12"/>
      <c r="D1004" s="12"/>
      <c r="E1004" s="12"/>
      <c r="I1004" s="14"/>
      <c r="M1004" s="12"/>
      <c r="T1004" s="12"/>
      <c r="U1004" s="12"/>
      <c r="V1004" s="12"/>
      <c r="W1004" s="12"/>
      <c r="X1004" s="12"/>
      <c r="Y1004" s="12"/>
      <c r="Z1004" s="12"/>
      <c r="AA1004" s="12"/>
      <c r="AB1004" s="12"/>
      <c r="AC1004" s="12"/>
      <c r="AD1004" s="12"/>
      <c r="AE1004" s="12"/>
      <c r="AF1004" s="12"/>
      <c r="AG1004" s="12"/>
      <c r="AH1004" s="12"/>
      <c r="AI1004" s="12"/>
    </row>
    <row r="1005" spans="1:35" s="10" customFormat="1" x14ac:dyDescent="0.35">
      <c r="A1005" s="12"/>
      <c r="B1005" s="12"/>
      <c r="C1005" s="12"/>
      <c r="D1005" s="12"/>
      <c r="E1005" s="12"/>
      <c r="I1005" s="14"/>
      <c r="M1005" s="12"/>
      <c r="T1005" s="12"/>
      <c r="U1005" s="12"/>
      <c r="V1005" s="12"/>
      <c r="W1005" s="12"/>
      <c r="X1005" s="12"/>
      <c r="Y1005" s="12"/>
      <c r="Z1005" s="12"/>
      <c r="AA1005" s="12"/>
      <c r="AB1005" s="12"/>
      <c r="AC1005" s="12"/>
      <c r="AD1005" s="12"/>
      <c r="AE1005" s="12"/>
      <c r="AF1005" s="12"/>
      <c r="AG1005" s="12"/>
      <c r="AH1005" s="12"/>
      <c r="AI1005" s="12"/>
    </row>
    <row r="1006" spans="1:35" s="10" customFormat="1" x14ac:dyDescent="0.35">
      <c r="A1006" s="12"/>
      <c r="B1006" s="12"/>
      <c r="C1006" s="12"/>
      <c r="D1006" s="12"/>
      <c r="E1006" s="12"/>
      <c r="I1006" s="14"/>
      <c r="M1006" s="12"/>
      <c r="T1006" s="12"/>
      <c r="U1006" s="12"/>
      <c r="V1006" s="12"/>
      <c r="W1006" s="12"/>
      <c r="X1006" s="12"/>
      <c r="Y1006" s="12"/>
      <c r="Z1006" s="12"/>
      <c r="AA1006" s="12"/>
      <c r="AB1006" s="12"/>
      <c r="AC1006" s="12"/>
      <c r="AD1006" s="12"/>
      <c r="AE1006" s="12"/>
      <c r="AF1006" s="12"/>
      <c r="AG1006" s="12"/>
      <c r="AH1006" s="12"/>
      <c r="AI1006" s="12"/>
    </row>
    <row r="1007" spans="1:35" s="10" customFormat="1" x14ac:dyDescent="0.35">
      <c r="A1007" s="12"/>
      <c r="B1007" s="12"/>
      <c r="C1007" s="12"/>
      <c r="D1007" s="12"/>
      <c r="E1007" s="12"/>
      <c r="I1007" s="14"/>
      <c r="M1007" s="12"/>
      <c r="T1007" s="12"/>
      <c r="U1007" s="12"/>
      <c r="V1007" s="12"/>
      <c r="W1007" s="12"/>
      <c r="X1007" s="12"/>
      <c r="Y1007" s="12"/>
      <c r="Z1007" s="12"/>
      <c r="AA1007" s="12"/>
      <c r="AB1007" s="12"/>
      <c r="AC1007" s="12"/>
      <c r="AD1007" s="12"/>
      <c r="AE1007" s="12"/>
      <c r="AF1007" s="12"/>
      <c r="AG1007" s="12"/>
      <c r="AH1007" s="12"/>
      <c r="AI1007" s="12"/>
    </row>
    <row r="1008" spans="1:35" s="10" customFormat="1" x14ac:dyDescent="0.35">
      <c r="A1008" s="12"/>
      <c r="B1008" s="12"/>
      <c r="C1008" s="12"/>
      <c r="D1008" s="12"/>
      <c r="E1008" s="12"/>
      <c r="I1008" s="14"/>
      <c r="M1008" s="12"/>
      <c r="T1008" s="12"/>
      <c r="U1008" s="12"/>
      <c r="V1008" s="12"/>
      <c r="W1008" s="12"/>
      <c r="X1008" s="12"/>
      <c r="Y1008" s="12"/>
      <c r="Z1008" s="12"/>
      <c r="AA1008" s="12"/>
      <c r="AB1008" s="12"/>
      <c r="AC1008" s="12"/>
      <c r="AD1008" s="12"/>
      <c r="AE1008" s="12"/>
      <c r="AF1008" s="12"/>
      <c r="AG1008" s="12"/>
      <c r="AH1008" s="12"/>
      <c r="AI1008" s="12"/>
    </row>
    <row r="1009" spans="1:35" s="10" customFormat="1" x14ac:dyDescent="0.35">
      <c r="A1009" s="12"/>
      <c r="B1009" s="12"/>
      <c r="C1009" s="12"/>
      <c r="D1009" s="12"/>
      <c r="E1009" s="12"/>
      <c r="I1009" s="14"/>
      <c r="M1009" s="12"/>
      <c r="T1009" s="12"/>
      <c r="U1009" s="12"/>
      <c r="V1009" s="12"/>
      <c r="W1009" s="12"/>
      <c r="X1009" s="12"/>
      <c r="Y1009" s="12"/>
      <c r="Z1009" s="12"/>
      <c r="AA1009" s="12"/>
      <c r="AB1009" s="12"/>
      <c r="AC1009" s="12"/>
      <c r="AD1009" s="12"/>
      <c r="AE1009" s="12"/>
      <c r="AF1009" s="12"/>
      <c r="AG1009" s="12"/>
      <c r="AH1009" s="12"/>
      <c r="AI1009" s="12"/>
    </row>
    <row r="1010" spans="1:35" s="10" customFormat="1" x14ac:dyDescent="0.35">
      <c r="A1010" s="12"/>
      <c r="B1010" s="12"/>
      <c r="C1010" s="12"/>
      <c r="D1010" s="12"/>
      <c r="E1010" s="12"/>
      <c r="I1010" s="14"/>
      <c r="M1010" s="12"/>
      <c r="T1010" s="12"/>
      <c r="U1010" s="12"/>
      <c r="V1010" s="12"/>
      <c r="W1010" s="12"/>
      <c r="X1010" s="12"/>
      <c r="Y1010" s="12"/>
      <c r="Z1010" s="12"/>
      <c r="AA1010" s="12"/>
      <c r="AB1010" s="12"/>
      <c r="AC1010" s="12"/>
      <c r="AD1010" s="12"/>
      <c r="AE1010" s="12"/>
      <c r="AF1010" s="12"/>
      <c r="AG1010" s="12"/>
      <c r="AH1010" s="12"/>
      <c r="AI1010" s="12"/>
    </row>
    <row r="1011" spans="1:35" s="10" customFormat="1" x14ac:dyDescent="0.35">
      <c r="A1011" s="12"/>
      <c r="B1011" s="12"/>
      <c r="C1011" s="12"/>
      <c r="D1011" s="12"/>
      <c r="E1011" s="12"/>
      <c r="I1011" s="14"/>
      <c r="M1011" s="12"/>
      <c r="T1011" s="12"/>
      <c r="U1011" s="12"/>
      <c r="V1011" s="12"/>
      <c r="W1011" s="12"/>
      <c r="X1011" s="12"/>
      <c r="Y1011" s="12"/>
      <c r="Z1011" s="12"/>
      <c r="AA1011" s="12"/>
      <c r="AB1011" s="12"/>
      <c r="AC1011" s="12"/>
      <c r="AD1011" s="12"/>
      <c r="AE1011" s="12"/>
      <c r="AF1011" s="12"/>
      <c r="AG1011" s="12"/>
      <c r="AH1011" s="12"/>
      <c r="AI1011" s="12"/>
    </row>
    <row r="1012" spans="1:35" s="10" customFormat="1" x14ac:dyDescent="0.35">
      <c r="A1012" s="12"/>
      <c r="B1012" s="12"/>
      <c r="C1012" s="12"/>
      <c r="D1012" s="12"/>
      <c r="E1012" s="12"/>
      <c r="I1012" s="14"/>
      <c r="M1012" s="12"/>
      <c r="T1012" s="12"/>
      <c r="U1012" s="12"/>
      <c r="V1012" s="12"/>
      <c r="W1012" s="12"/>
      <c r="X1012" s="12"/>
      <c r="Y1012" s="12"/>
      <c r="Z1012" s="12"/>
      <c r="AA1012" s="12"/>
      <c r="AB1012" s="12"/>
      <c r="AC1012" s="12"/>
      <c r="AD1012" s="12"/>
      <c r="AE1012" s="12"/>
      <c r="AF1012" s="12"/>
      <c r="AG1012" s="12"/>
      <c r="AH1012" s="12"/>
      <c r="AI1012" s="12"/>
    </row>
    <row r="1013" spans="1:35" s="10" customFormat="1" x14ac:dyDescent="0.35">
      <c r="A1013" s="12"/>
      <c r="B1013" s="12"/>
      <c r="C1013" s="12"/>
      <c r="D1013" s="12"/>
      <c r="E1013" s="12"/>
      <c r="I1013" s="14"/>
      <c r="M1013" s="12"/>
      <c r="T1013" s="12"/>
      <c r="U1013" s="12"/>
      <c r="V1013" s="12"/>
      <c r="W1013" s="12"/>
      <c r="X1013" s="12"/>
      <c r="Y1013" s="12"/>
      <c r="Z1013" s="12"/>
      <c r="AA1013" s="12"/>
      <c r="AB1013" s="12"/>
      <c r="AC1013" s="12"/>
      <c r="AD1013" s="12"/>
      <c r="AE1013" s="12"/>
      <c r="AF1013" s="12"/>
      <c r="AG1013" s="12"/>
      <c r="AH1013" s="12"/>
      <c r="AI1013" s="12"/>
    </row>
    <row r="1014" spans="1:35" s="10" customFormat="1" x14ac:dyDescent="0.35">
      <c r="A1014" s="12"/>
      <c r="B1014" s="12"/>
      <c r="C1014" s="12"/>
      <c r="D1014" s="12"/>
      <c r="E1014" s="12"/>
      <c r="I1014" s="14"/>
      <c r="M1014" s="12"/>
      <c r="T1014" s="12"/>
      <c r="U1014" s="12"/>
      <c r="V1014" s="12"/>
      <c r="W1014" s="12"/>
      <c r="X1014" s="12"/>
      <c r="Y1014" s="12"/>
      <c r="Z1014" s="12"/>
      <c r="AA1014" s="12"/>
      <c r="AB1014" s="12"/>
      <c r="AC1014" s="12"/>
      <c r="AD1014" s="12"/>
      <c r="AE1014" s="12"/>
      <c r="AF1014" s="12"/>
      <c r="AG1014" s="12"/>
      <c r="AH1014" s="12"/>
      <c r="AI1014" s="12"/>
    </row>
    <row r="1015" spans="1:35" s="10" customFormat="1" x14ac:dyDescent="0.35">
      <c r="A1015" s="12"/>
      <c r="B1015" s="12"/>
      <c r="C1015" s="12"/>
      <c r="D1015" s="12"/>
      <c r="E1015" s="12"/>
      <c r="I1015" s="14"/>
      <c r="M1015" s="12"/>
      <c r="T1015" s="12"/>
      <c r="U1015" s="12"/>
      <c r="V1015" s="12"/>
      <c r="W1015" s="12"/>
      <c r="X1015" s="12"/>
      <c r="Y1015" s="12"/>
      <c r="Z1015" s="12"/>
      <c r="AA1015" s="12"/>
      <c r="AB1015" s="12"/>
      <c r="AC1015" s="12"/>
      <c r="AD1015" s="12"/>
      <c r="AE1015" s="12"/>
      <c r="AF1015" s="12"/>
      <c r="AG1015" s="12"/>
      <c r="AH1015" s="12"/>
      <c r="AI1015" s="12"/>
    </row>
    <row r="1016" spans="1:35" s="10" customFormat="1" x14ac:dyDescent="0.35">
      <c r="A1016" s="12"/>
      <c r="B1016" s="12"/>
      <c r="C1016" s="12"/>
      <c r="D1016" s="12"/>
      <c r="E1016" s="12"/>
      <c r="I1016" s="14"/>
      <c r="M1016" s="12"/>
      <c r="T1016" s="12"/>
      <c r="U1016" s="12"/>
      <c r="V1016" s="12"/>
      <c r="W1016" s="12"/>
      <c r="X1016" s="12"/>
      <c r="Y1016" s="12"/>
      <c r="Z1016" s="12"/>
      <c r="AA1016" s="12"/>
      <c r="AB1016" s="12"/>
      <c r="AC1016" s="12"/>
      <c r="AD1016" s="12"/>
      <c r="AE1016" s="12"/>
      <c r="AF1016" s="12"/>
      <c r="AG1016" s="12"/>
      <c r="AH1016" s="12"/>
      <c r="AI1016" s="12"/>
    </row>
    <row r="1017" spans="1:35" s="10" customFormat="1" x14ac:dyDescent="0.35">
      <c r="A1017" s="12"/>
      <c r="B1017" s="12"/>
      <c r="C1017" s="12"/>
      <c r="D1017" s="12"/>
      <c r="E1017" s="12"/>
      <c r="I1017" s="14"/>
      <c r="M1017" s="12"/>
      <c r="T1017" s="12"/>
      <c r="U1017" s="12"/>
      <c r="V1017" s="12"/>
      <c r="W1017" s="12"/>
      <c r="X1017" s="12"/>
      <c r="Y1017" s="12"/>
      <c r="Z1017" s="12"/>
      <c r="AA1017" s="12"/>
      <c r="AB1017" s="12"/>
      <c r="AC1017" s="12"/>
      <c r="AD1017" s="12"/>
      <c r="AE1017" s="12"/>
      <c r="AF1017" s="12"/>
      <c r="AG1017" s="12"/>
      <c r="AH1017" s="12"/>
      <c r="AI1017" s="12"/>
    </row>
    <row r="1018" spans="1:35" s="10" customFormat="1" x14ac:dyDescent="0.35">
      <c r="A1018" s="12"/>
      <c r="B1018" s="12"/>
      <c r="C1018" s="12"/>
      <c r="D1018" s="12"/>
      <c r="E1018" s="12"/>
      <c r="I1018" s="14"/>
      <c r="M1018" s="12"/>
      <c r="T1018" s="12"/>
      <c r="U1018" s="12"/>
      <c r="V1018" s="12"/>
      <c r="W1018" s="12"/>
      <c r="X1018" s="12"/>
      <c r="Y1018" s="12"/>
      <c r="Z1018" s="12"/>
      <c r="AA1018" s="12"/>
      <c r="AB1018" s="12"/>
      <c r="AC1018" s="12"/>
      <c r="AD1018" s="12"/>
      <c r="AE1018" s="12"/>
      <c r="AF1018" s="12"/>
      <c r="AG1018" s="12"/>
      <c r="AH1018" s="12"/>
      <c r="AI1018" s="12"/>
    </row>
    <row r="1019" spans="1:35" s="10" customFormat="1" x14ac:dyDescent="0.35">
      <c r="A1019" s="12"/>
      <c r="B1019" s="12"/>
      <c r="C1019" s="12"/>
      <c r="D1019" s="12"/>
      <c r="E1019" s="12"/>
      <c r="I1019" s="14"/>
      <c r="M1019" s="12"/>
      <c r="T1019" s="12"/>
      <c r="U1019" s="12"/>
      <c r="V1019" s="12"/>
      <c r="W1019" s="12"/>
      <c r="X1019" s="12"/>
      <c r="Y1019" s="12"/>
      <c r="Z1019" s="12"/>
      <c r="AA1019" s="12"/>
      <c r="AB1019" s="12"/>
      <c r="AC1019" s="12"/>
      <c r="AD1019" s="12"/>
      <c r="AE1019" s="12"/>
      <c r="AF1019" s="12"/>
      <c r="AG1019" s="12"/>
      <c r="AH1019" s="12"/>
      <c r="AI1019" s="12"/>
    </row>
    <row r="1020" spans="1:35" s="10" customFormat="1" x14ac:dyDescent="0.35">
      <c r="A1020" s="12"/>
      <c r="B1020" s="12"/>
      <c r="C1020" s="12"/>
      <c r="D1020" s="12"/>
      <c r="E1020" s="12"/>
      <c r="I1020" s="14"/>
      <c r="M1020" s="12"/>
      <c r="T1020" s="12"/>
      <c r="U1020" s="12"/>
      <c r="V1020" s="12"/>
      <c r="W1020" s="12"/>
      <c r="X1020" s="12"/>
      <c r="Y1020" s="12"/>
      <c r="Z1020" s="12"/>
      <c r="AA1020" s="12"/>
      <c r="AB1020" s="12"/>
      <c r="AC1020" s="12"/>
      <c r="AD1020" s="12"/>
      <c r="AE1020" s="12"/>
      <c r="AF1020" s="12"/>
      <c r="AG1020" s="12"/>
      <c r="AH1020" s="12"/>
      <c r="AI1020" s="12"/>
    </row>
    <row r="1021" spans="1:35" s="10" customFormat="1" x14ac:dyDescent="0.35">
      <c r="A1021" s="12"/>
      <c r="B1021" s="12"/>
      <c r="C1021" s="12"/>
      <c r="D1021" s="12"/>
      <c r="E1021" s="12"/>
      <c r="I1021" s="14"/>
      <c r="M1021" s="12"/>
      <c r="T1021" s="12"/>
      <c r="U1021" s="12"/>
      <c r="V1021" s="12"/>
      <c r="W1021" s="12"/>
      <c r="X1021" s="12"/>
      <c r="Y1021" s="12"/>
      <c r="Z1021" s="12"/>
      <c r="AA1021" s="12"/>
      <c r="AB1021" s="12"/>
      <c r="AC1021" s="12"/>
      <c r="AD1021" s="12"/>
      <c r="AE1021" s="12"/>
      <c r="AF1021" s="12"/>
      <c r="AG1021" s="12"/>
      <c r="AH1021" s="12"/>
      <c r="AI1021" s="12"/>
    </row>
    <row r="1022" spans="1:35" s="10" customFormat="1" x14ac:dyDescent="0.35">
      <c r="A1022" s="12"/>
      <c r="B1022" s="12"/>
      <c r="C1022" s="12"/>
      <c r="D1022" s="12"/>
      <c r="E1022" s="12"/>
      <c r="I1022" s="14"/>
      <c r="M1022" s="12"/>
      <c r="T1022" s="12"/>
      <c r="U1022" s="12"/>
      <c r="V1022" s="12"/>
      <c r="W1022" s="12"/>
      <c r="X1022" s="12"/>
      <c r="Y1022" s="12"/>
      <c r="Z1022" s="12"/>
      <c r="AA1022" s="12"/>
      <c r="AB1022" s="12"/>
      <c r="AC1022" s="12"/>
      <c r="AD1022" s="12"/>
      <c r="AE1022" s="12"/>
      <c r="AF1022" s="12"/>
      <c r="AG1022" s="12"/>
      <c r="AH1022" s="12"/>
      <c r="AI1022" s="12"/>
    </row>
    <row r="1023" spans="1:35" s="10" customFormat="1" x14ac:dyDescent="0.35">
      <c r="A1023" s="12"/>
      <c r="B1023" s="12"/>
      <c r="C1023" s="12"/>
      <c r="D1023" s="12"/>
      <c r="E1023" s="12"/>
      <c r="I1023" s="14"/>
      <c r="M1023" s="12"/>
      <c r="T1023" s="12"/>
      <c r="U1023" s="12"/>
      <c r="V1023" s="12"/>
      <c r="W1023" s="12"/>
      <c r="X1023" s="12"/>
      <c r="Y1023" s="12"/>
      <c r="Z1023" s="12"/>
      <c r="AA1023" s="12"/>
      <c r="AB1023" s="12"/>
      <c r="AC1023" s="12"/>
      <c r="AD1023" s="12"/>
      <c r="AE1023" s="12"/>
      <c r="AF1023" s="12"/>
      <c r="AG1023" s="12"/>
      <c r="AH1023" s="12"/>
      <c r="AI1023" s="12"/>
    </row>
    <row r="1024" spans="1:35" s="10" customFormat="1" x14ac:dyDescent="0.35">
      <c r="A1024" s="12"/>
      <c r="B1024" s="12"/>
      <c r="C1024" s="12"/>
      <c r="D1024" s="12"/>
      <c r="E1024" s="12"/>
      <c r="I1024" s="14"/>
      <c r="M1024" s="12"/>
      <c r="T1024" s="12"/>
      <c r="U1024" s="12"/>
      <c r="V1024" s="12"/>
      <c r="W1024" s="12"/>
      <c r="X1024" s="12"/>
      <c r="Y1024" s="12"/>
      <c r="Z1024" s="12"/>
      <c r="AA1024" s="12"/>
      <c r="AB1024" s="12"/>
      <c r="AC1024" s="12"/>
      <c r="AD1024" s="12"/>
      <c r="AE1024" s="12"/>
      <c r="AF1024" s="12"/>
      <c r="AG1024" s="12"/>
      <c r="AH1024" s="12"/>
      <c r="AI1024" s="12"/>
    </row>
    <row r="1025" spans="1:35" s="10" customFormat="1" x14ac:dyDescent="0.35">
      <c r="A1025" s="12"/>
      <c r="B1025" s="12"/>
      <c r="C1025" s="12"/>
      <c r="D1025" s="12"/>
      <c r="E1025" s="12"/>
      <c r="I1025" s="14"/>
      <c r="M1025" s="12"/>
      <c r="T1025" s="12"/>
      <c r="U1025" s="12"/>
      <c r="V1025" s="12"/>
      <c r="W1025" s="12"/>
      <c r="X1025" s="12"/>
      <c r="Y1025" s="12"/>
      <c r="Z1025" s="12"/>
      <c r="AA1025" s="12"/>
      <c r="AB1025" s="12"/>
      <c r="AC1025" s="12"/>
      <c r="AD1025" s="12"/>
      <c r="AE1025" s="12"/>
      <c r="AF1025" s="12"/>
      <c r="AG1025" s="12"/>
      <c r="AH1025" s="12"/>
      <c r="AI1025" s="12"/>
    </row>
    <row r="1026" spans="1:35" s="10" customFormat="1" x14ac:dyDescent="0.35">
      <c r="A1026" s="12"/>
      <c r="B1026" s="12"/>
      <c r="C1026" s="12"/>
      <c r="D1026" s="12"/>
      <c r="E1026" s="12"/>
      <c r="I1026" s="14"/>
      <c r="M1026" s="12"/>
      <c r="T1026" s="12"/>
      <c r="U1026" s="12"/>
      <c r="V1026" s="12"/>
      <c r="W1026" s="12"/>
      <c r="X1026" s="12"/>
      <c r="Y1026" s="12"/>
      <c r="Z1026" s="12"/>
      <c r="AA1026" s="12"/>
      <c r="AB1026" s="12"/>
      <c r="AC1026" s="12"/>
      <c r="AD1026" s="12"/>
      <c r="AE1026" s="12"/>
      <c r="AF1026" s="12"/>
      <c r="AG1026" s="12"/>
      <c r="AH1026" s="12"/>
      <c r="AI1026" s="12"/>
    </row>
    <row r="1027" spans="1:35" s="10" customFormat="1" x14ac:dyDescent="0.35">
      <c r="A1027" s="12"/>
      <c r="B1027" s="12"/>
      <c r="C1027" s="12"/>
      <c r="D1027" s="12"/>
      <c r="E1027" s="12"/>
      <c r="I1027" s="14"/>
      <c r="M1027" s="12"/>
      <c r="T1027" s="12"/>
      <c r="U1027" s="12"/>
      <c r="V1027" s="12"/>
      <c r="W1027" s="12"/>
      <c r="X1027" s="12"/>
      <c r="Y1027" s="12"/>
      <c r="Z1027" s="12"/>
      <c r="AA1027" s="12"/>
      <c r="AB1027" s="12"/>
      <c r="AC1027" s="12"/>
      <c r="AD1027" s="12"/>
      <c r="AE1027" s="12"/>
      <c r="AF1027" s="12"/>
      <c r="AG1027" s="12"/>
      <c r="AH1027" s="12"/>
      <c r="AI1027" s="12"/>
    </row>
    <row r="1028" spans="1:35" s="10" customFormat="1" x14ac:dyDescent="0.35">
      <c r="A1028" s="12"/>
      <c r="B1028" s="12"/>
      <c r="C1028" s="12"/>
      <c r="D1028" s="12"/>
      <c r="E1028" s="12"/>
      <c r="I1028" s="14"/>
      <c r="M1028" s="12"/>
      <c r="T1028" s="12"/>
      <c r="U1028" s="12"/>
      <c r="V1028" s="12"/>
      <c r="W1028" s="12"/>
      <c r="X1028" s="12"/>
      <c r="Y1028" s="12"/>
      <c r="Z1028" s="12"/>
      <c r="AA1028" s="12"/>
      <c r="AB1028" s="12"/>
      <c r="AC1028" s="12"/>
      <c r="AD1028" s="12"/>
      <c r="AE1028" s="12"/>
      <c r="AF1028" s="12"/>
      <c r="AG1028" s="12"/>
      <c r="AH1028" s="12"/>
      <c r="AI1028" s="12"/>
    </row>
    <row r="1029" spans="1:35" s="10" customFormat="1" x14ac:dyDescent="0.35">
      <c r="A1029" s="12"/>
      <c r="B1029" s="12"/>
      <c r="C1029" s="12"/>
      <c r="D1029" s="12"/>
      <c r="E1029" s="12"/>
      <c r="I1029" s="14"/>
      <c r="M1029" s="12"/>
      <c r="T1029" s="12"/>
      <c r="U1029" s="12"/>
      <c r="V1029" s="12"/>
      <c r="W1029" s="12"/>
      <c r="X1029" s="12"/>
      <c r="Y1029" s="12"/>
      <c r="Z1029" s="12"/>
      <c r="AA1029" s="12"/>
      <c r="AB1029" s="12"/>
      <c r="AC1029" s="12"/>
      <c r="AD1029" s="12"/>
      <c r="AE1029" s="12"/>
      <c r="AF1029" s="12"/>
      <c r="AG1029" s="12"/>
      <c r="AH1029" s="12"/>
      <c r="AI1029" s="12"/>
    </row>
    <row r="1030" spans="1:35" s="10" customFormat="1" x14ac:dyDescent="0.35">
      <c r="A1030" s="12"/>
      <c r="B1030" s="12"/>
      <c r="C1030" s="12"/>
      <c r="D1030" s="12"/>
      <c r="E1030" s="12"/>
      <c r="I1030" s="14"/>
      <c r="M1030" s="12"/>
      <c r="T1030" s="12"/>
      <c r="U1030" s="12"/>
      <c r="V1030" s="12"/>
      <c r="W1030" s="12"/>
      <c r="X1030" s="12"/>
      <c r="Y1030" s="12"/>
      <c r="Z1030" s="12"/>
      <c r="AA1030" s="12"/>
      <c r="AB1030" s="12"/>
      <c r="AC1030" s="12"/>
      <c r="AD1030" s="12"/>
      <c r="AE1030" s="12"/>
      <c r="AF1030" s="12"/>
      <c r="AG1030" s="12"/>
      <c r="AH1030" s="12"/>
      <c r="AI1030" s="12"/>
    </row>
    <row r="1031" spans="1:35" s="10" customFormat="1" x14ac:dyDescent="0.35">
      <c r="A1031" s="12"/>
      <c r="B1031" s="12"/>
      <c r="C1031" s="12"/>
      <c r="D1031" s="12"/>
      <c r="E1031" s="12"/>
      <c r="I1031" s="14"/>
      <c r="M1031" s="12"/>
      <c r="T1031" s="12"/>
      <c r="U1031" s="12"/>
      <c r="V1031" s="12"/>
      <c r="W1031" s="12"/>
      <c r="X1031" s="12"/>
      <c r="Y1031" s="12"/>
      <c r="Z1031" s="12"/>
      <c r="AA1031" s="12"/>
      <c r="AB1031" s="12"/>
      <c r="AC1031" s="12"/>
      <c r="AD1031" s="12"/>
      <c r="AE1031" s="12"/>
      <c r="AF1031" s="12"/>
      <c r="AG1031" s="12"/>
      <c r="AH1031" s="12"/>
      <c r="AI1031" s="12"/>
    </row>
    <row r="1032" spans="1:35" s="10" customFormat="1" x14ac:dyDescent="0.35">
      <c r="A1032" s="12"/>
      <c r="B1032" s="12"/>
      <c r="C1032" s="12"/>
      <c r="D1032" s="12"/>
      <c r="E1032" s="12"/>
      <c r="I1032" s="14"/>
      <c r="M1032" s="12"/>
      <c r="T1032" s="12"/>
      <c r="U1032" s="12"/>
      <c r="V1032" s="12"/>
      <c r="W1032" s="12"/>
      <c r="X1032" s="12"/>
      <c r="Y1032" s="12"/>
      <c r="Z1032" s="12"/>
      <c r="AA1032" s="12"/>
      <c r="AB1032" s="12"/>
      <c r="AC1032" s="12"/>
      <c r="AD1032" s="12"/>
      <c r="AE1032" s="12"/>
      <c r="AF1032" s="12"/>
      <c r="AG1032" s="12"/>
      <c r="AH1032" s="12"/>
      <c r="AI1032" s="12"/>
    </row>
    <row r="1033" spans="1:35" s="10" customFormat="1" x14ac:dyDescent="0.35">
      <c r="A1033" s="12"/>
      <c r="B1033" s="12"/>
      <c r="C1033" s="12"/>
      <c r="D1033" s="12"/>
      <c r="E1033" s="12"/>
      <c r="I1033" s="14"/>
      <c r="M1033" s="12"/>
      <c r="T1033" s="12"/>
      <c r="U1033" s="12"/>
      <c r="V1033" s="12"/>
      <c r="W1033" s="12"/>
      <c r="X1033" s="12"/>
      <c r="Y1033" s="12"/>
      <c r="Z1033" s="12"/>
      <c r="AA1033" s="12"/>
      <c r="AB1033" s="12"/>
      <c r="AC1033" s="12"/>
      <c r="AD1033" s="12"/>
      <c r="AE1033" s="12"/>
      <c r="AF1033" s="12"/>
      <c r="AG1033" s="12"/>
      <c r="AH1033" s="12"/>
      <c r="AI1033" s="12"/>
    </row>
    <row r="1034" spans="1:35" s="10" customFormat="1" x14ac:dyDescent="0.35">
      <c r="A1034" s="12"/>
      <c r="B1034" s="12"/>
      <c r="C1034" s="12"/>
      <c r="D1034" s="12"/>
      <c r="E1034" s="12"/>
      <c r="I1034" s="14"/>
      <c r="M1034" s="12"/>
      <c r="T1034" s="12"/>
      <c r="U1034" s="12"/>
      <c r="V1034" s="12"/>
      <c r="W1034" s="12"/>
      <c r="X1034" s="12"/>
      <c r="Y1034" s="12"/>
      <c r="Z1034" s="12"/>
      <c r="AA1034" s="12"/>
      <c r="AB1034" s="12"/>
      <c r="AC1034" s="12"/>
      <c r="AD1034" s="12"/>
      <c r="AE1034" s="12"/>
      <c r="AF1034" s="12"/>
      <c r="AG1034" s="12"/>
      <c r="AH1034" s="12"/>
      <c r="AI1034" s="12"/>
    </row>
    <row r="1035" spans="1:35" s="10" customFormat="1" x14ac:dyDescent="0.35">
      <c r="A1035" s="12"/>
      <c r="B1035" s="12"/>
      <c r="C1035" s="12"/>
      <c r="D1035" s="12"/>
      <c r="E1035" s="12"/>
      <c r="I1035" s="14"/>
      <c r="M1035" s="12"/>
      <c r="T1035" s="12"/>
      <c r="U1035" s="12"/>
      <c r="V1035" s="12"/>
      <c r="W1035" s="12"/>
      <c r="X1035" s="12"/>
      <c r="Y1035" s="12"/>
      <c r="Z1035" s="12"/>
      <c r="AA1035" s="12"/>
      <c r="AB1035" s="12"/>
      <c r="AC1035" s="12"/>
      <c r="AD1035" s="12"/>
      <c r="AE1035" s="12"/>
      <c r="AF1035" s="12"/>
      <c r="AG1035" s="12"/>
      <c r="AH1035" s="12"/>
      <c r="AI1035" s="12"/>
    </row>
    <row r="1036" spans="1:35" s="10" customFormat="1" x14ac:dyDescent="0.35">
      <c r="A1036" s="12"/>
      <c r="B1036" s="12"/>
      <c r="C1036" s="12"/>
      <c r="D1036" s="12"/>
      <c r="E1036" s="12"/>
      <c r="I1036" s="14"/>
      <c r="M1036" s="12"/>
      <c r="T1036" s="12"/>
      <c r="U1036" s="12"/>
      <c r="V1036" s="12"/>
      <c r="W1036" s="12"/>
      <c r="X1036" s="12"/>
      <c r="Y1036" s="12"/>
      <c r="Z1036" s="12"/>
      <c r="AA1036" s="12"/>
      <c r="AB1036" s="12"/>
      <c r="AC1036" s="12"/>
      <c r="AD1036" s="12"/>
      <c r="AE1036" s="12"/>
      <c r="AF1036" s="12"/>
      <c r="AG1036" s="12"/>
      <c r="AH1036" s="12"/>
      <c r="AI1036" s="12"/>
    </row>
    <row r="1037" spans="1:35" s="10" customFormat="1" x14ac:dyDescent="0.35">
      <c r="A1037" s="12"/>
      <c r="B1037" s="12"/>
      <c r="C1037" s="12"/>
      <c r="D1037" s="12"/>
      <c r="E1037" s="12"/>
      <c r="I1037" s="14"/>
      <c r="M1037" s="12"/>
      <c r="T1037" s="12"/>
      <c r="U1037" s="12"/>
      <c r="V1037" s="12"/>
      <c r="W1037" s="12"/>
      <c r="X1037" s="12"/>
      <c r="Y1037" s="12"/>
      <c r="Z1037" s="12"/>
      <c r="AA1037" s="12"/>
      <c r="AB1037" s="12"/>
      <c r="AC1037" s="12"/>
      <c r="AD1037" s="12"/>
      <c r="AE1037" s="12"/>
      <c r="AF1037" s="12"/>
      <c r="AG1037" s="12"/>
      <c r="AH1037" s="12"/>
      <c r="AI1037" s="12"/>
    </row>
    <row r="1038" spans="1:35" s="10" customFormat="1" x14ac:dyDescent="0.35">
      <c r="A1038" s="12"/>
      <c r="B1038" s="12"/>
      <c r="C1038" s="12"/>
      <c r="D1038" s="12"/>
      <c r="E1038" s="12"/>
      <c r="I1038" s="14"/>
      <c r="M1038" s="12"/>
      <c r="T1038" s="12"/>
      <c r="U1038" s="12"/>
      <c r="V1038" s="12"/>
      <c r="W1038" s="12"/>
      <c r="X1038" s="12"/>
      <c r="Y1038" s="12"/>
      <c r="Z1038" s="12"/>
      <c r="AA1038" s="12"/>
      <c r="AB1038" s="12"/>
      <c r="AC1038" s="12"/>
      <c r="AD1038" s="12"/>
      <c r="AE1038" s="12"/>
      <c r="AF1038" s="12"/>
      <c r="AG1038" s="12"/>
      <c r="AH1038" s="12"/>
      <c r="AI1038" s="12"/>
    </row>
    <row r="1039" spans="1:35" s="10" customFormat="1" x14ac:dyDescent="0.35">
      <c r="A1039" s="12"/>
      <c r="B1039" s="12"/>
      <c r="C1039" s="12"/>
      <c r="D1039" s="12"/>
      <c r="E1039" s="12"/>
      <c r="I1039" s="14"/>
      <c r="M1039" s="12"/>
      <c r="T1039" s="12"/>
      <c r="U1039" s="12"/>
      <c r="V1039" s="12"/>
      <c r="W1039" s="12"/>
      <c r="X1039" s="12"/>
      <c r="Y1039" s="12"/>
      <c r="Z1039" s="12"/>
      <c r="AA1039" s="12"/>
      <c r="AB1039" s="12"/>
      <c r="AC1039" s="12"/>
      <c r="AD1039" s="12"/>
      <c r="AE1039" s="12"/>
      <c r="AF1039" s="12"/>
      <c r="AG1039" s="12"/>
      <c r="AH1039" s="12"/>
      <c r="AI1039" s="12"/>
    </row>
    <row r="1040" spans="1:35" s="10" customFormat="1" x14ac:dyDescent="0.35">
      <c r="A1040" s="12"/>
      <c r="B1040" s="12"/>
      <c r="C1040" s="12"/>
      <c r="D1040" s="12"/>
      <c r="E1040" s="12"/>
      <c r="I1040" s="14"/>
      <c r="M1040" s="12"/>
      <c r="T1040" s="12"/>
      <c r="U1040" s="12"/>
      <c r="V1040" s="12"/>
      <c r="W1040" s="12"/>
      <c r="X1040" s="12"/>
      <c r="Y1040" s="12"/>
      <c r="Z1040" s="12"/>
      <c r="AA1040" s="12"/>
      <c r="AB1040" s="12"/>
      <c r="AC1040" s="12"/>
      <c r="AD1040" s="12"/>
      <c r="AE1040" s="12"/>
      <c r="AF1040" s="12"/>
      <c r="AG1040" s="12"/>
      <c r="AH1040" s="12"/>
      <c r="AI1040" s="12"/>
    </row>
    <row r="1041" spans="1:35" s="10" customFormat="1" x14ac:dyDescent="0.35">
      <c r="A1041" s="12"/>
      <c r="B1041" s="12"/>
      <c r="C1041" s="12"/>
      <c r="D1041" s="12"/>
      <c r="E1041" s="12"/>
      <c r="I1041" s="14"/>
      <c r="M1041" s="12"/>
      <c r="T1041" s="12"/>
      <c r="U1041" s="12"/>
      <c r="V1041" s="12"/>
      <c r="W1041" s="12"/>
      <c r="X1041" s="12"/>
      <c r="Y1041" s="12"/>
      <c r="Z1041" s="12"/>
      <c r="AA1041" s="12"/>
      <c r="AB1041" s="12"/>
      <c r="AC1041" s="12"/>
      <c r="AD1041" s="12"/>
      <c r="AE1041" s="12"/>
      <c r="AF1041" s="12"/>
      <c r="AG1041" s="12"/>
      <c r="AH1041" s="12"/>
      <c r="AI1041" s="12"/>
    </row>
    <row r="1042" spans="1:35" s="10" customFormat="1" x14ac:dyDescent="0.35">
      <c r="A1042" s="12"/>
      <c r="B1042" s="12"/>
      <c r="C1042" s="12"/>
      <c r="D1042" s="12"/>
      <c r="E1042" s="12"/>
      <c r="I1042" s="14"/>
      <c r="M1042" s="12"/>
      <c r="T1042" s="12"/>
      <c r="U1042" s="12"/>
      <c r="V1042" s="12"/>
      <c r="W1042" s="12"/>
      <c r="X1042" s="12"/>
      <c r="Y1042" s="12"/>
      <c r="Z1042" s="12"/>
      <c r="AA1042" s="12"/>
      <c r="AB1042" s="12"/>
      <c r="AC1042" s="12"/>
      <c r="AD1042" s="12"/>
      <c r="AE1042" s="12"/>
      <c r="AF1042" s="12"/>
      <c r="AG1042" s="12"/>
      <c r="AH1042" s="12"/>
      <c r="AI1042" s="12"/>
    </row>
    <row r="1043" spans="1:35" s="10" customFormat="1" x14ac:dyDescent="0.35">
      <c r="A1043" s="12"/>
      <c r="B1043" s="12"/>
      <c r="C1043" s="12"/>
      <c r="D1043" s="12"/>
      <c r="E1043" s="12"/>
      <c r="I1043" s="14"/>
      <c r="M1043" s="12"/>
      <c r="T1043" s="12"/>
      <c r="U1043" s="12"/>
      <c r="V1043" s="12"/>
      <c r="W1043" s="12"/>
      <c r="X1043" s="12"/>
      <c r="Y1043" s="12"/>
      <c r="Z1043" s="12"/>
      <c r="AA1043" s="12"/>
      <c r="AB1043" s="12"/>
      <c r="AC1043" s="12"/>
      <c r="AD1043" s="12"/>
      <c r="AE1043" s="12"/>
      <c r="AF1043" s="12"/>
      <c r="AG1043" s="12"/>
      <c r="AH1043" s="12"/>
      <c r="AI1043" s="12"/>
    </row>
    <row r="1044" spans="1:35" s="10" customFormat="1" x14ac:dyDescent="0.35">
      <c r="A1044" s="12"/>
      <c r="B1044" s="12"/>
      <c r="C1044" s="12"/>
      <c r="D1044" s="12"/>
      <c r="E1044" s="12"/>
      <c r="I1044" s="14"/>
      <c r="M1044" s="12"/>
      <c r="T1044" s="12"/>
      <c r="U1044" s="12"/>
      <c r="V1044" s="12"/>
      <c r="W1044" s="12"/>
      <c r="X1044" s="12"/>
      <c r="Y1044" s="12"/>
      <c r="Z1044" s="12"/>
      <c r="AA1044" s="12"/>
      <c r="AB1044" s="12"/>
      <c r="AC1044" s="12"/>
      <c r="AD1044" s="12"/>
      <c r="AE1044" s="12"/>
      <c r="AF1044" s="12"/>
      <c r="AG1044" s="12"/>
      <c r="AH1044" s="12"/>
      <c r="AI1044" s="12"/>
    </row>
    <row r="1045" spans="1:35" s="10" customFormat="1" x14ac:dyDescent="0.35">
      <c r="A1045" s="12"/>
      <c r="B1045" s="12"/>
      <c r="C1045" s="12"/>
      <c r="D1045" s="12"/>
      <c r="E1045" s="12"/>
      <c r="I1045" s="14"/>
      <c r="M1045" s="12"/>
      <c r="T1045" s="12"/>
      <c r="U1045" s="12"/>
      <c r="V1045" s="12"/>
      <c r="W1045" s="12"/>
      <c r="X1045" s="12"/>
      <c r="Y1045" s="12"/>
      <c r="Z1045" s="12"/>
      <c r="AA1045" s="12"/>
      <c r="AB1045" s="12"/>
      <c r="AC1045" s="12"/>
      <c r="AD1045" s="12"/>
      <c r="AE1045" s="12"/>
      <c r="AF1045" s="12"/>
      <c r="AG1045" s="12"/>
      <c r="AH1045" s="12"/>
      <c r="AI1045" s="12"/>
    </row>
    <row r="1046" spans="1:35" s="10" customFormat="1" x14ac:dyDescent="0.35">
      <c r="A1046" s="12"/>
      <c r="B1046" s="12"/>
      <c r="C1046" s="12"/>
      <c r="D1046" s="12"/>
      <c r="E1046" s="12"/>
      <c r="I1046" s="14"/>
      <c r="M1046" s="12"/>
      <c r="T1046" s="12"/>
      <c r="U1046" s="12"/>
      <c r="V1046" s="12"/>
      <c r="W1046" s="12"/>
      <c r="X1046" s="12"/>
      <c r="Y1046" s="12"/>
      <c r="Z1046" s="12"/>
      <c r="AA1046" s="12"/>
      <c r="AB1046" s="12"/>
      <c r="AC1046" s="12"/>
      <c r="AD1046" s="12"/>
      <c r="AE1046" s="12"/>
      <c r="AF1046" s="12"/>
      <c r="AG1046" s="12"/>
      <c r="AH1046" s="12"/>
      <c r="AI1046" s="12"/>
    </row>
    <row r="1047" spans="1:35" s="10" customFormat="1" x14ac:dyDescent="0.35">
      <c r="A1047" s="12"/>
      <c r="B1047" s="12"/>
      <c r="C1047" s="12"/>
      <c r="D1047" s="12"/>
      <c r="E1047" s="12"/>
      <c r="I1047" s="14"/>
      <c r="M1047" s="12"/>
      <c r="T1047" s="12"/>
      <c r="U1047" s="12"/>
      <c r="V1047" s="12"/>
      <c r="W1047" s="12"/>
      <c r="X1047" s="12"/>
      <c r="Y1047" s="12"/>
      <c r="Z1047" s="12"/>
      <c r="AA1047" s="12"/>
      <c r="AB1047" s="12"/>
      <c r="AC1047" s="12"/>
      <c r="AD1047" s="12"/>
      <c r="AE1047" s="12"/>
      <c r="AF1047" s="12"/>
      <c r="AG1047" s="12"/>
      <c r="AH1047" s="12"/>
      <c r="AI1047" s="12"/>
    </row>
    <row r="1048" spans="1:35" s="10" customFormat="1" x14ac:dyDescent="0.35">
      <c r="A1048" s="12"/>
      <c r="B1048" s="12"/>
      <c r="C1048" s="12"/>
      <c r="D1048" s="12"/>
      <c r="E1048" s="12"/>
      <c r="I1048" s="14"/>
      <c r="M1048" s="12"/>
      <c r="T1048" s="12"/>
      <c r="U1048" s="12"/>
      <c r="V1048" s="12"/>
      <c r="W1048" s="12"/>
      <c r="X1048" s="12"/>
      <c r="Y1048" s="12"/>
      <c r="Z1048" s="12"/>
      <c r="AA1048" s="12"/>
      <c r="AB1048" s="12"/>
      <c r="AC1048" s="12"/>
      <c r="AD1048" s="12"/>
      <c r="AE1048" s="12"/>
      <c r="AF1048" s="12"/>
      <c r="AG1048" s="12"/>
      <c r="AH1048" s="12"/>
      <c r="AI1048" s="12"/>
    </row>
    <row r="1049" spans="1:35" s="10" customFormat="1" x14ac:dyDescent="0.35">
      <c r="A1049" s="12"/>
      <c r="B1049" s="12"/>
      <c r="C1049" s="12"/>
      <c r="D1049" s="12"/>
      <c r="E1049" s="12"/>
      <c r="I1049" s="14"/>
      <c r="M1049" s="12"/>
      <c r="T1049" s="12"/>
      <c r="U1049" s="12"/>
      <c r="V1049" s="12"/>
      <c r="W1049" s="12"/>
      <c r="X1049" s="12"/>
      <c r="Y1049" s="12"/>
      <c r="Z1049" s="12"/>
      <c r="AA1049" s="12"/>
      <c r="AB1049" s="12"/>
      <c r="AC1049" s="12"/>
      <c r="AD1049" s="12"/>
      <c r="AE1049" s="12"/>
      <c r="AF1049" s="12"/>
      <c r="AG1049" s="12"/>
      <c r="AH1049" s="12"/>
      <c r="AI1049" s="12"/>
    </row>
    <row r="1050" spans="1:35" s="10" customFormat="1" x14ac:dyDescent="0.35">
      <c r="A1050" s="12"/>
      <c r="B1050" s="12"/>
      <c r="C1050" s="12"/>
      <c r="D1050" s="12"/>
      <c r="E1050" s="12"/>
      <c r="I1050" s="14"/>
      <c r="M1050" s="12"/>
      <c r="T1050" s="12"/>
      <c r="U1050" s="12"/>
      <c r="V1050" s="12"/>
      <c r="W1050" s="12"/>
      <c r="X1050" s="12"/>
      <c r="Y1050" s="12"/>
      <c r="Z1050" s="12"/>
      <c r="AA1050" s="12"/>
      <c r="AB1050" s="12"/>
      <c r="AC1050" s="12"/>
      <c r="AD1050" s="12"/>
      <c r="AE1050" s="12"/>
      <c r="AF1050" s="12"/>
      <c r="AG1050" s="12"/>
      <c r="AH1050" s="12"/>
      <c r="AI1050" s="12"/>
    </row>
    <row r="1051" spans="1:35" s="10" customFormat="1" x14ac:dyDescent="0.35">
      <c r="A1051" s="12"/>
      <c r="B1051" s="12"/>
      <c r="C1051" s="12"/>
      <c r="D1051" s="12"/>
      <c r="E1051" s="12"/>
      <c r="I1051" s="14"/>
      <c r="M1051" s="12"/>
      <c r="T1051" s="12"/>
      <c r="U1051" s="12"/>
      <c r="V1051" s="12"/>
      <c r="W1051" s="12"/>
      <c r="X1051" s="12"/>
      <c r="Y1051" s="12"/>
      <c r="Z1051" s="12"/>
      <c r="AA1051" s="12"/>
      <c r="AB1051" s="12"/>
      <c r="AC1051" s="12"/>
      <c r="AD1051" s="12"/>
      <c r="AE1051" s="12"/>
      <c r="AF1051" s="12"/>
      <c r="AG1051" s="12"/>
      <c r="AH1051" s="12"/>
      <c r="AI1051" s="12"/>
    </row>
    <row r="1052" spans="1:35" s="10" customFormat="1" x14ac:dyDescent="0.35">
      <c r="A1052" s="12"/>
      <c r="B1052" s="12"/>
      <c r="C1052" s="12"/>
      <c r="D1052" s="12"/>
      <c r="E1052" s="12"/>
      <c r="I1052" s="14"/>
      <c r="M1052" s="12"/>
      <c r="T1052" s="12"/>
      <c r="U1052" s="12"/>
      <c r="V1052" s="12"/>
      <c r="W1052" s="12"/>
      <c r="X1052" s="12"/>
      <c r="Y1052" s="12"/>
      <c r="Z1052" s="12"/>
      <c r="AA1052" s="12"/>
      <c r="AB1052" s="12"/>
      <c r="AC1052" s="12"/>
      <c r="AD1052" s="12"/>
      <c r="AE1052" s="12"/>
      <c r="AF1052" s="12"/>
      <c r="AG1052" s="12"/>
      <c r="AH1052" s="12"/>
      <c r="AI1052" s="12"/>
    </row>
    <row r="1053" spans="1:35" s="10" customFormat="1" x14ac:dyDescent="0.35">
      <c r="A1053" s="12"/>
      <c r="B1053" s="12"/>
      <c r="C1053" s="12"/>
      <c r="D1053" s="12"/>
      <c r="E1053" s="12"/>
      <c r="I1053" s="14"/>
      <c r="M1053" s="12"/>
      <c r="T1053" s="12"/>
      <c r="U1053" s="12"/>
      <c r="V1053" s="12"/>
      <c r="W1053" s="12"/>
      <c r="X1053" s="12"/>
      <c r="Y1053" s="12"/>
      <c r="Z1053" s="12"/>
      <c r="AA1053" s="12"/>
      <c r="AB1053" s="12"/>
      <c r="AC1053" s="12"/>
      <c r="AD1053" s="12"/>
      <c r="AE1053" s="12"/>
      <c r="AF1053" s="12"/>
      <c r="AG1053" s="12"/>
      <c r="AH1053" s="12"/>
      <c r="AI1053" s="12"/>
    </row>
    <row r="1054" spans="1:35" s="10" customFormat="1" x14ac:dyDescent="0.35">
      <c r="A1054" s="12"/>
      <c r="B1054" s="12"/>
      <c r="C1054" s="12"/>
      <c r="D1054" s="12"/>
      <c r="E1054" s="12"/>
      <c r="I1054" s="14"/>
      <c r="M1054" s="12"/>
      <c r="T1054" s="12"/>
      <c r="U1054" s="12"/>
      <c r="V1054" s="12"/>
      <c r="W1054" s="12"/>
      <c r="X1054" s="12"/>
      <c r="Y1054" s="12"/>
      <c r="Z1054" s="12"/>
      <c r="AA1054" s="12"/>
      <c r="AB1054" s="12"/>
      <c r="AC1054" s="12"/>
      <c r="AD1054" s="12"/>
      <c r="AE1054" s="12"/>
      <c r="AF1054" s="12"/>
      <c r="AG1054" s="12"/>
      <c r="AH1054" s="12"/>
      <c r="AI1054" s="12"/>
    </row>
    <row r="1055" spans="1:35" s="10" customFormat="1" x14ac:dyDescent="0.35">
      <c r="A1055" s="12"/>
      <c r="B1055" s="12"/>
      <c r="C1055" s="12"/>
      <c r="D1055" s="12"/>
      <c r="E1055" s="12"/>
      <c r="I1055" s="14"/>
      <c r="M1055" s="12"/>
      <c r="T1055" s="12"/>
      <c r="U1055" s="12"/>
      <c r="V1055" s="12"/>
      <c r="W1055" s="12"/>
      <c r="X1055" s="12"/>
      <c r="Y1055" s="12"/>
      <c r="Z1055" s="12"/>
      <c r="AA1055" s="12"/>
      <c r="AB1055" s="12"/>
      <c r="AC1055" s="12"/>
      <c r="AD1055" s="12"/>
      <c r="AE1055" s="12"/>
      <c r="AF1055" s="12"/>
      <c r="AG1055" s="12"/>
      <c r="AH1055" s="12"/>
      <c r="AI1055" s="12"/>
    </row>
    <row r="1056" spans="1:35" s="10" customFormat="1" x14ac:dyDescent="0.35">
      <c r="A1056" s="12"/>
      <c r="B1056" s="12"/>
      <c r="C1056" s="12"/>
      <c r="D1056" s="12"/>
      <c r="E1056" s="12"/>
      <c r="I1056" s="14"/>
      <c r="M1056" s="12"/>
      <c r="T1056" s="12"/>
      <c r="U1056" s="12"/>
      <c r="V1056" s="12"/>
      <c r="W1056" s="12"/>
      <c r="X1056" s="12"/>
      <c r="Y1056" s="12"/>
      <c r="Z1056" s="12"/>
      <c r="AA1056" s="12"/>
      <c r="AB1056" s="12"/>
      <c r="AC1056" s="12"/>
      <c r="AD1056" s="12"/>
      <c r="AE1056" s="12"/>
      <c r="AF1056" s="12"/>
      <c r="AG1056" s="12"/>
      <c r="AH1056" s="12"/>
      <c r="AI1056" s="12"/>
    </row>
    <row r="1057" spans="1:35" s="10" customFormat="1" x14ac:dyDescent="0.35">
      <c r="A1057" s="12"/>
      <c r="B1057" s="12"/>
      <c r="C1057" s="12"/>
      <c r="D1057" s="12"/>
      <c r="E1057" s="12"/>
      <c r="I1057" s="14"/>
      <c r="M1057" s="12"/>
      <c r="T1057" s="12"/>
      <c r="U1057" s="12"/>
      <c r="V1057" s="12"/>
      <c r="W1057" s="12"/>
      <c r="X1057" s="12"/>
      <c r="Y1057" s="12"/>
      <c r="Z1057" s="12"/>
      <c r="AA1057" s="12"/>
      <c r="AB1057" s="12"/>
      <c r="AC1057" s="12"/>
      <c r="AD1057" s="12"/>
      <c r="AE1057" s="12"/>
      <c r="AF1057" s="12"/>
      <c r="AG1057" s="12"/>
      <c r="AH1057" s="12"/>
      <c r="AI1057" s="12"/>
    </row>
    <row r="1058" spans="1:35" s="10" customFormat="1" x14ac:dyDescent="0.35">
      <c r="A1058" s="12"/>
      <c r="B1058" s="12"/>
      <c r="C1058" s="12"/>
      <c r="D1058" s="12"/>
      <c r="E1058" s="12"/>
      <c r="I1058" s="14"/>
      <c r="M1058" s="12"/>
      <c r="T1058" s="12"/>
      <c r="U1058" s="12"/>
      <c r="V1058" s="12"/>
      <c r="W1058" s="12"/>
      <c r="X1058" s="12"/>
      <c r="Y1058" s="12"/>
      <c r="Z1058" s="12"/>
      <c r="AA1058" s="12"/>
      <c r="AB1058" s="12"/>
      <c r="AC1058" s="12"/>
      <c r="AD1058" s="12"/>
      <c r="AE1058" s="12"/>
      <c r="AF1058" s="12"/>
      <c r="AG1058" s="12"/>
      <c r="AH1058" s="12"/>
      <c r="AI1058" s="12"/>
    </row>
    <row r="1059" spans="1:35" s="10" customFormat="1" x14ac:dyDescent="0.35">
      <c r="A1059" s="12"/>
      <c r="B1059" s="12"/>
      <c r="C1059" s="12"/>
      <c r="D1059" s="12"/>
      <c r="E1059" s="12"/>
      <c r="I1059" s="14"/>
      <c r="M1059" s="12"/>
      <c r="T1059" s="12"/>
      <c r="U1059" s="12"/>
      <c r="V1059" s="12"/>
      <c r="W1059" s="12"/>
      <c r="X1059" s="12"/>
      <c r="Y1059" s="12"/>
      <c r="Z1059" s="12"/>
      <c r="AA1059" s="12"/>
      <c r="AB1059" s="12"/>
      <c r="AC1059" s="12"/>
      <c r="AD1059" s="12"/>
      <c r="AE1059" s="12"/>
      <c r="AF1059" s="12"/>
      <c r="AG1059" s="12"/>
      <c r="AH1059" s="12"/>
      <c r="AI1059" s="12"/>
    </row>
    <row r="1060" spans="1:35" s="10" customFormat="1" x14ac:dyDescent="0.35">
      <c r="A1060" s="12"/>
      <c r="B1060" s="12"/>
      <c r="C1060" s="12"/>
      <c r="D1060" s="12"/>
      <c r="E1060" s="12"/>
      <c r="I1060" s="14"/>
      <c r="M1060" s="12"/>
      <c r="T1060" s="12"/>
      <c r="U1060" s="12"/>
      <c r="V1060" s="12"/>
      <c r="W1060" s="12"/>
      <c r="X1060" s="12"/>
      <c r="Y1060" s="12"/>
      <c r="Z1060" s="12"/>
      <c r="AA1060" s="12"/>
      <c r="AB1060" s="12"/>
      <c r="AC1060" s="12"/>
      <c r="AD1060" s="12"/>
      <c r="AE1060" s="12"/>
      <c r="AF1060" s="12"/>
      <c r="AG1060" s="12"/>
      <c r="AH1060" s="12"/>
      <c r="AI1060" s="12"/>
    </row>
    <row r="1061" spans="1:35" s="10" customFormat="1" x14ac:dyDescent="0.35">
      <c r="A1061" s="12"/>
      <c r="B1061" s="12"/>
      <c r="C1061" s="12"/>
      <c r="D1061" s="12"/>
      <c r="E1061" s="12"/>
      <c r="I1061" s="14"/>
      <c r="M1061" s="12"/>
      <c r="T1061" s="12"/>
      <c r="U1061" s="12"/>
      <c r="V1061" s="12"/>
      <c r="W1061" s="12"/>
      <c r="X1061" s="12"/>
      <c r="Y1061" s="12"/>
      <c r="Z1061" s="12"/>
      <c r="AA1061" s="12"/>
      <c r="AB1061" s="12"/>
      <c r="AC1061" s="12"/>
      <c r="AD1061" s="12"/>
      <c r="AE1061" s="12"/>
      <c r="AF1061" s="12"/>
      <c r="AG1061" s="12"/>
      <c r="AH1061" s="12"/>
      <c r="AI1061" s="12"/>
    </row>
    <row r="1062" spans="1:35" s="10" customFormat="1" x14ac:dyDescent="0.35">
      <c r="A1062" s="12"/>
      <c r="B1062" s="12"/>
      <c r="C1062" s="12"/>
      <c r="D1062" s="12"/>
      <c r="E1062" s="12"/>
      <c r="I1062" s="14"/>
      <c r="M1062" s="12"/>
      <c r="T1062" s="12"/>
      <c r="U1062" s="12"/>
      <c r="V1062" s="12"/>
      <c r="W1062" s="12"/>
      <c r="X1062" s="12"/>
      <c r="Y1062" s="12"/>
      <c r="Z1062" s="12"/>
      <c r="AA1062" s="12"/>
      <c r="AB1062" s="12"/>
      <c r="AC1062" s="12"/>
      <c r="AD1062" s="12"/>
      <c r="AE1062" s="12"/>
      <c r="AF1062" s="12"/>
      <c r="AG1062" s="12"/>
      <c r="AH1062" s="12"/>
      <c r="AI1062" s="12"/>
    </row>
    <row r="1063" spans="1:35" s="10" customFormat="1" x14ac:dyDescent="0.35">
      <c r="A1063" s="12"/>
      <c r="B1063" s="12"/>
      <c r="C1063" s="12"/>
      <c r="D1063" s="12"/>
      <c r="E1063" s="12"/>
      <c r="I1063" s="14"/>
      <c r="M1063" s="12"/>
      <c r="T1063" s="12"/>
      <c r="U1063" s="12"/>
      <c r="V1063" s="12"/>
      <c r="W1063" s="12"/>
      <c r="X1063" s="12"/>
      <c r="Y1063" s="12"/>
      <c r="Z1063" s="12"/>
      <c r="AA1063" s="12"/>
      <c r="AB1063" s="12"/>
      <c r="AC1063" s="12"/>
      <c r="AD1063" s="12"/>
      <c r="AE1063" s="12"/>
      <c r="AF1063" s="12"/>
      <c r="AG1063" s="12"/>
      <c r="AH1063" s="12"/>
      <c r="AI1063" s="12"/>
    </row>
    <row r="1064" spans="1:35" s="10" customFormat="1" x14ac:dyDescent="0.35">
      <c r="A1064" s="12"/>
      <c r="B1064" s="12"/>
      <c r="C1064" s="12"/>
      <c r="D1064" s="12"/>
      <c r="E1064" s="12"/>
      <c r="I1064" s="14"/>
      <c r="M1064" s="12"/>
      <c r="T1064" s="12"/>
      <c r="U1064" s="12"/>
      <c r="V1064" s="12"/>
      <c r="W1064" s="12"/>
      <c r="X1064" s="12"/>
      <c r="Y1064" s="12"/>
      <c r="Z1064" s="12"/>
      <c r="AA1064" s="12"/>
      <c r="AB1064" s="12"/>
      <c r="AC1064" s="12"/>
      <c r="AD1064" s="12"/>
      <c r="AE1064" s="12"/>
      <c r="AF1064" s="12"/>
      <c r="AG1064" s="12"/>
      <c r="AH1064" s="12"/>
      <c r="AI1064" s="12"/>
    </row>
    <row r="1065" spans="1:35" s="10" customFormat="1" x14ac:dyDescent="0.35">
      <c r="A1065" s="12"/>
      <c r="B1065" s="12"/>
      <c r="C1065" s="12"/>
      <c r="D1065" s="12"/>
      <c r="E1065" s="12"/>
      <c r="I1065" s="14"/>
      <c r="M1065" s="12"/>
      <c r="T1065" s="12"/>
      <c r="U1065" s="12"/>
      <c r="V1065" s="12"/>
      <c r="W1065" s="12"/>
      <c r="X1065" s="12"/>
      <c r="Y1065" s="12"/>
      <c r="Z1065" s="12"/>
      <c r="AA1065" s="12"/>
      <c r="AB1065" s="12"/>
      <c r="AC1065" s="12"/>
      <c r="AD1065" s="12"/>
      <c r="AE1065" s="12"/>
      <c r="AF1065" s="12"/>
      <c r="AG1065" s="12"/>
      <c r="AH1065" s="12"/>
      <c r="AI1065" s="12"/>
    </row>
    <row r="1066" spans="1:35" s="10" customFormat="1" x14ac:dyDescent="0.35">
      <c r="A1066" s="12"/>
      <c r="B1066" s="12"/>
      <c r="C1066" s="12"/>
      <c r="D1066" s="12"/>
      <c r="E1066" s="12"/>
      <c r="I1066" s="14"/>
      <c r="M1066" s="12"/>
      <c r="T1066" s="12"/>
      <c r="U1066" s="12"/>
      <c r="V1066" s="12"/>
      <c r="W1066" s="12"/>
      <c r="X1066" s="12"/>
      <c r="Y1066" s="12"/>
      <c r="Z1066" s="12"/>
      <c r="AA1066" s="12"/>
      <c r="AB1066" s="12"/>
      <c r="AC1066" s="12"/>
      <c r="AD1066" s="12"/>
      <c r="AE1066" s="12"/>
      <c r="AF1066" s="12"/>
      <c r="AG1066" s="12"/>
      <c r="AH1066" s="12"/>
      <c r="AI1066" s="12"/>
    </row>
    <row r="1067" spans="1:35" s="10" customFormat="1" x14ac:dyDescent="0.35">
      <c r="A1067" s="12"/>
      <c r="B1067" s="12"/>
      <c r="C1067" s="12"/>
      <c r="D1067" s="12"/>
      <c r="E1067" s="12"/>
      <c r="I1067" s="14"/>
      <c r="M1067" s="12"/>
      <c r="T1067" s="12"/>
      <c r="U1067" s="12"/>
      <c r="V1067" s="12"/>
      <c r="W1067" s="12"/>
      <c r="X1067" s="12"/>
      <c r="Y1067" s="12"/>
      <c r="Z1067" s="12"/>
      <c r="AA1067" s="12"/>
      <c r="AB1067" s="12"/>
      <c r="AC1067" s="12"/>
      <c r="AD1067" s="12"/>
      <c r="AE1067" s="12"/>
      <c r="AF1067" s="12"/>
      <c r="AG1067" s="12"/>
      <c r="AH1067" s="12"/>
      <c r="AI1067" s="12"/>
    </row>
    <row r="1068" spans="1:35" s="10" customFormat="1" x14ac:dyDescent="0.35">
      <c r="A1068" s="12"/>
      <c r="B1068" s="12"/>
      <c r="C1068" s="12"/>
      <c r="D1068" s="12"/>
      <c r="E1068" s="12"/>
      <c r="I1068" s="14"/>
      <c r="M1068" s="12"/>
      <c r="T1068" s="12"/>
      <c r="U1068" s="12"/>
      <c r="V1068" s="12"/>
      <c r="W1068" s="12"/>
      <c r="X1068" s="12"/>
      <c r="Y1068" s="12"/>
      <c r="Z1068" s="12"/>
      <c r="AA1068" s="12"/>
      <c r="AB1068" s="12"/>
      <c r="AC1068" s="12"/>
      <c r="AD1068" s="12"/>
      <c r="AE1068" s="12"/>
      <c r="AF1068" s="12"/>
      <c r="AG1068" s="12"/>
      <c r="AH1068" s="12"/>
      <c r="AI1068" s="12"/>
    </row>
    <row r="1069" spans="1:35" s="10" customFormat="1" x14ac:dyDescent="0.35">
      <c r="A1069" s="12"/>
      <c r="B1069" s="12"/>
      <c r="C1069" s="12"/>
      <c r="D1069" s="12"/>
      <c r="E1069" s="12"/>
      <c r="I1069" s="14"/>
      <c r="M1069" s="12"/>
      <c r="T1069" s="12"/>
      <c r="U1069" s="12"/>
      <c r="V1069" s="12"/>
      <c r="W1069" s="12"/>
      <c r="X1069" s="12"/>
      <c r="Y1069" s="12"/>
      <c r="Z1069" s="12"/>
      <c r="AA1069" s="12"/>
      <c r="AB1069" s="12"/>
      <c r="AC1069" s="12"/>
      <c r="AD1069" s="12"/>
      <c r="AE1069" s="12"/>
      <c r="AF1069" s="12"/>
      <c r="AG1069" s="12"/>
      <c r="AH1069" s="12"/>
      <c r="AI1069" s="12"/>
    </row>
    <row r="1070" spans="1:35" s="10" customFormat="1" x14ac:dyDescent="0.35">
      <c r="A1070" s="12"/>
      <c r="B1070" s="12"/>
      <c r="C1070" s="12"/>
      <c r="D1070" s="12"/>
      <c r="E1070" s="12"/>
      <c r="I1070" s="14"/>
      <c r="M1070" s="12"/>
      <c r="T1070" s="12"/>
      <c r="U1070" s="12"/>
      <c r="V1070" s="12"/>
      <c r="W1070" s="12"/>
      <c r="X1070" s="12"/>
      <c r="Y1070" s="12"/>
      <c r="Z1070" s="12"/>
      <c r="AA1070" s="12"/>
      <c r="AB1070" s="12"/>
      <c r="AC1070" s="12"/>
      <c r="AD1070" s="12"/>
      <c r="AE1070" s="12"/>
      <c r="AF1070" s="12"/>
      <c r="AG1070" s="12"/>
      <c r="AH1070" s="12"/>
      <c r="AI1070" s="12"/>
    </row>
    <row r="1071" spans="1:35" s="10" customFormat="1" x14ac:dyDescent="0.35">
      <c r="A1071" s="12"/>
      <c r="B1071" s="12"/>
      <c r="C1071" s="12"/>
      <c r="D1071" s="12"/>
      <c r="E1071" s="12"/>
      <c r="I1071" s="14"/>
      <c r="M1071" s="12"/>
      <c r="T1071" s="12"/>
      <c r="U1071" s="12"/>
      <c r="V1071" s="12"/>
      <c r="W1071" s="12"/>
      <c r="X1071" s="12"/>
      <c r="Y1071" s="12"/>
      <c r="Z1071" s="12"/>
      <c r="AA1071" s="12"/>
      <c r="AB1071" s="12"/>
      <c r="AC1071" s="12"/>
      <c r="AD1071" s="12"/>
      <c r="AE1071" s="12"/>
      <c r="AF1071" s="12"/>
      <c r="AG1071" s="12"/>
      <c r="AH1071" s="12"/>
      <c r="AI1071" s="12"/>
    </row>
    <row r="1072" spans="1:35" s="10" customFormat="1" x14ac:dyDescent="0.35">
      <c r="A1072" s="12"/>
      <c r="B1072" s="12"/>
      <c r="C1072" s="12"/>
      <c r="D1072" s="12"/>
      <c r="E1072" s="12"/>
      <c r="I1072" s="14"/>
      <c r="M1072" s="12"/>
      <c r="T1072" s="12"/>
      <c r="U1072" s="12"/>
      <c r="V1072" s="12"/>
      <c r="W1072" s="12"/>
      <c r="X1072" s="12"/>
      <c r="Y1072" s="12"/>
      <c r="Z1072" s="12"/>
      <c r="AA1072" s="12"/>
      <c r="AB1072" s="12"/>
      <c r="AC1072" s="12"/>
      <c r="AD1072" s="12"/>
      <c r="AE1072" s="12"/>
      <c r="AF1072" s="12"/>
      <c r="AG1072" s="12"/>
      <c r="AH1072" s="12"/>
      <c r="AI1072" s="12"/>
    </row>
    <row r="1073" spans="1:35" s="10" customFormat="1" x14ac:dyDescent="0.35">
      <c r="A1073" s="12"/>
      <c r="B1073" s="12"/>
      <c r="C1073" s="12"/>
      <c r="D1073" s="12"/>
      <c r="E1073" s="12"/>
      <c r="I1073" s="14"/>
      <c r="M1073" s="12"/>
      <c r="T1073" s="12"/>
      <c r="U1073" s="12"/>
      <c r="V1073" s="12"/>
      <c r="W1073" s="12"/>
      <c r="X1073" s="12"/>
      <c r="Y1073" s="12"/>
      <c r="Z1073" s="12"/>
      <c r="AA1073" s="12"/>
      <c r="AB1073" s="12"/>
      <c r="AC1073" s="12"/>
      <c r="AD1073" s="12"/>
      <c r="AE1073" s="12"/>
      <c r="AF1073" s="12"/>
      <c r="AG1073" s="12"/>
      <c r="AH1073" s="12"/>
      <c r="AI1073" s="12"/>
    </row>
    <row r="1074" spans="1:35" s="10" customFormat="1" x14ac:dyDescent="0.35">
      <c r="A1074" s="12"/>
      <c r="B1074" s="12"/>
      <c r="C1074" s="12"/>
      <c r="D1074" s="12"/>
      <c r="E1074" s="12"/>
      <c r="I1074" s="14"/>
      <c r="M1074" s="12"/>
      <c r="T1074" s="12"/>
      <c r="U1074" s="12"/>
      <c r="V1074" s="12"/>
      <c r="W1074" s="12"/>
      <c r="X1074" s="12"/>
      <c r="Y1074" s="12"/>
      <c r="Z1074" s="12"/>
      <c r="AA1074" s="12"/>
      <c r="AB1074" s="12"/>
      <c r="AC1074" s="12"/>
      <c r="AD1074" s="12"/>
      <c r="AE1074" s="12"/>
      <c r="AF1074" s="12"/>
      <c r="AG1074" s="12"/>
      <c r="AH1074" s="12"/>
      <c r="AI1074" s="12"/>
    </row>
    <row r="1075" spans="1:35" s="10" customFormat="1" x14ac:dyDescent="0.35">
      <c r="A1075" s="12"/>
      <c r="B1075" s="12"/>
      <c r="C1075" s="12"/>
      <c r="D1075" s="12"/>
      <c r="E1075" s="12"/>
      <c r="I1075" s="14"/>
      <c r="M1075" s="12"/>
      <c r="T1075" s="12"/>
      <c r="U1075" s="12"/>
      <c r="V1075" s="12"/>
      <c r="W1075" s="12"/>
      <c r="X1075" s="12"/>
      <c r="Y1075" s="12"/>
      <c r="Z1075" s="12"/>
      <c r="AA1075" s="12"/>
      <c r="AB1075" s="12"/>
      <c r="AC1075" s="12"/>
      <c r="AD1075" s="12"/>
      <c r="AE1075" s="12"/>
      <c r="AF1075" s="12"/>
      <c r="AG1075" s="12"/>
      <c r="AH1075" s="12"/>
      <c r="AI1075" s="12"/>
    </row>
    <row r="1076" spans="1:35" s="10" customFormat="1" x14ac:dyDescent="0.35">
      <c r="A1076" s="12"/>
      <c r="B1076" s="12"/>
      <c r="C1076" s="12"/>
      <c r="D1076" s="12"/>
      <c r="E1076" s="12"/>
      <c r="I1076" s="14"/>
      <c r="M1076" s="12"/>
      <c r="T1076" s="12"/>
      <c r="U1076" s="12"/>
      <c r="V1076" s="12"/>
      <c r="W1076" s="12"/>
      <c r="X1076" s="12"/>
      <c r="Y1076" s="12"/>
      <c r="Z1076" s="12"/>
      <c r="AA1076" s="12"/>
      <c r="AB1076" s="12"/>
      <c r="AC1076" s="12"/>
      <c r="AD1076" s="12"/>
      <c r="AE1076" s="12"/>
      <c r="AF1076" s="12"/>
      <c r="AG1076" s="12"/>
      <c r="AH1076" s="12"/>
      <c r="AI1076" s="12"/>
    </row>
    <row r="1077" spans="1:35" s="10" customFormat="1" x14ac:dyDescent="0.35">
      <c r="A1077" s="12"/>
      <c r="B1077" s="12"/>
      <c r="C1077" s="12"/>
      <c r="D1077" s="12"/>
      <c r="E1077" s="12"/>
      <c r="I1077" s="14"/>
      <c r="M1077" s="12"/>
      <c r="T1077" s="12"/>
      <c r="U1077" s="12"/>
      <c r="V1077" s="12"/>
      <c r="W1077" s="12"/>
      <c r="X1077" s="12"/>
      <c r="Y1077" s="12"/>
      <c r="Z1077" s="12"/>
      <c r="AA1077" s="12"/>
      <c r="AB1077" s="12"/>
      <c r="AC1077" s="12"/>
      <c r="AD1077" s="12"/>
      <c r="AE1077" s="12"/>
      <c r="AF1077" s="12"/>
      <c r="AG1077" s="12"/>
      <c r="AH1077" s="12"/>
      <c r="AI1077" s="12"/>
    </row>
    <row r="1078" spans="1:35" s="10" customFormat="1" x14ac:dyDescent="0.35">
      <c r="A1078" s="12"/>
      <c r="B1078" s="12"/>
      <c r="C1078" s="12"/>
      <c r="D1078" s="12"/>
      <c r="E1078" s="12"/>
      <c r="I1078" s="14"/>
      <c r="M1078" s="12"/>
      <c r="T1078" s="12"/>
      <c r="U1078" s="12"/>
      <c r="V1078" s="12"/>
      <c r="W1078" s="12"/>
      <c r="X1078" s="12"/>
      <c r="Y1078" s="12"/>
      <c r="Z1078" s="12"/>
      <c r="AA1078" s="12"/>
      <c r="AB1078" s="12"/>
      <c r="AC1078" s="12"/>
      <c r="AD1078" s="12"/>
      <c r="AE1078" s="12"/>
      <c r="AF1078" s="12"/>
      <c r="AG1078" s="12"/>
      <c r="AH1078" s="12"/>
      <c r="AI1078" s="12"/>
    </row>
    <row r="1079" spans="1:35" s="10" customFormat="1" x14ac:dyDescent="0.35">
      <c r="A1079" s="12"/>
      <c r="B1079" s="12"/>
      <c r="C1079" s="12"/>
      <c r="D1079" s="12"/>
      <c r="E1079" s="12"/>
      <c r="I1079" s="14"/>
      <c r="M1079" s="12"/>
      <c r="T1079" s="12"/>
      <c r="U1079" s="12"/>
      <c r="V1079" s="12"/>
      <c r="W1079" s="12"/>
      <c r="X1079" s="12"/>
      <c r="Y1079" s="12"/>
      <c r="Z1079" s="12"/>
      <c r="AA1079" s="12"/>
      <c r="AB1079" s="12"/>
      <c r="AC1079" s="12"/>
      <c r="AD1079" s="12"/>
      <c r="AE1079" s="12"/>
      <c r="AF1079" s="12"/>
      <c r="AG1079" s="12"/>
      <c r="AH1079" s="12"/>
      <c r="AI1079" s="12"/>
    </row>
    <row r="1080" spans="1:35" s="10" customFormat="1" x14ac:dyDescent="0.35">
      <c r="A1080" s="12"/>
      <c r="B1080" s="12"/>
      <c r="C1080" s="12"/>
      <c r="D1080" s="12"/>
      <c r="E1080" s="12"/>
      <c r="I1080" s="14"/>
      <c r="M1080" s="12"/>
      <c r="T1080" s="12"/>
      <c r="U1080" s="12"/>
      <c r="V1080" s="12"/>
      <c r="W1080" s="12"/>
      <c r="X1080" s="12"/>
      <c r="Y1080" s="12"/>
      <c r="Z1080" s="12"/>
      <c r="AA1080" s="12"/>
      <c r="AB1080" s="12"/>
      <c r="AC1080" s="12"/>
      <c r="AD1080" s="12"/>
      <c r="AE1080" s="12"/>
      <c r="AF1080" s="12"/>
      <c r="AG1080" s="12"/>
      <c r="AH1080" s="12"/>
      <c r="AI1080" s="12"/>
    </row>
    <row r="1081" spans="1:35" s="10" customFormat="1" x14ac:dyDescent="0.35">
      <c r="A1081" s="12"/>
      <c r="B1081" s="12"/>
      <c r="C1081" s="12"/>
      <c r="D1081" s="12"/>
      <c r="E1081" s="12"/>
      <c r="I1081" s="14"/>
      <c r="M1081" s="12"/>
      <c r="T1081" s="12"/>
      <c r="U1081" s="12"/>
      <c r="V1081" s="12"/>
      <c r="W1081" s="12"/>
      <c r="X1081" s="12"/>
      <c r="Y1081" s="12"/>
      <c r="Z1081" s="12"/>
      <c r="AA1081" s="12"/>
      <c r="AB1081" s="12"/>
      <c r="AC1081" s="12"/>
      <c r="AD1081" s="12"/>
      <c r="AE1081" s="12"/>
      <c r="AF1081" s="12"/>
      <c r="AG1081" s="12"/>
      <c r="AH1081" s="12"/>
      <c r="AI1081" s="12"/>
    </row>
    <row r="1082" spans="1:35" s="10" customFormat="1" x14ac:dyDescent="0.35">
      <c r="A1082" s="12"/>
      <c r="B1082" s="12"/>
      <c r="C1082" s="12"/>
      <c r="D1082" s="12"/>
      <c r="E1082" s="12"/>
      <c r="I1082" s="14"/>
      <c r="M1082" s="12"/>
      <c r="T1082" s="12"/>
      <c r="U1082" s="12"/>
      <c r="V1082" s="12"/>
      <c r="W1082" s="12"/>
      <c r="X1082" s="12"/>
      <c r="Y1082" s="12"/>
      <c r="Z1082" s="12"/>
      <c r="AA1082" s="12"/>
      <c r="AB1082" s="12"/>
      <c r="AC1082" s="12"/>
      <c r="AD1082" s="12"/>
      <c r="AE1082" s="12"/>
      <c r="AF1082" s="12"/>
      <c r="AG1082" s="12"/>
      <c r="AH1082" s="12"/>
      <c r="AI1082" s="12"/>
    </row>
    <row r="1083" spans="1:35" s="10" customFormat="1" x14ac:dyDescent="0.35">
      <c r="A1083" s="12"/>
      <c r="B1083" s="12"/>
      <c r="C1083" s="12"/>
      <c r="D1083" s="12"/>
      <c r="E1083" s="12"/>
      <c r="I1083" s="14"/>
      <c r="M1083" s="12"/>
      <c r="T1083" s="12"/>
      <c r="U1083" s="12"/>
      <c r="V1083" s="12"/>
      <c r="W1083" s="12"/>
      <c r="X1083" s="12"/>
      <c r="Y1083" s="12"/>
      <c r="Z1083" s="12"/>
      <c r="AA1083" s="12"/>
      <c r="AB1083" s="12"/>
      <c r="AC1083" s="12"/>
      <c r="AD1083" s="12"/>
      <c r="AE1083" s="12"/>
      <c r="AF1083" s="12"/>
      <c r="AG1083" s="12"/>
      <c r="AH1083" s="12"/>
      <c r="AI1083" s="12"/>
    </row>
    <row r="1084" spans="1:35" s="10" customFormat="1" x14ac:dyDescent="0.35">
      <c r="A1084" s="12"/>
      <c r="B1084" s="12"/>
      <c r="C1084" s="12"/>
      <c r="D1084" s="12"/>
      <c r="E1084" s="12"/>
      <c r="I1084" s="14"/>
      <c r="M1084" s="12"/>
      <c r="T1084" s="12"/>
      <c r="U1084" s="12"/>
      <c r="V1084" s="12"/>
      <c r="W1084" s="12"/>
      <c r="X1084" s="12"/>
      <c r="Y1084" s="12"/>
      <c r="Z1084" s="12"/>
      <c r="AA1084" s="12"/>
      <c r="AB1084" s="12"/>
      <c r="AC1084" s="12"/>
      <c r="AD1084" s="12"/>
      <c r="AE1084" s="12"/>
      <c r="AF1084" s="12"/>
      <c r="AG1084" s="12"/>
      <c r="AH1084" s="12"/>
      <c r="AI1084" s="12"/>
    </row>
    <row r="1085" spans="1:35" s="10" customFormat="1" x14ac:dyDescent="0.35">
      <c r="A1085" s="12"/>
      <c r="B1085" s="12"/>
      <c r="C1085" s="12"/>
      <c r="D1085" s="12"/>
      <c r="E1085" s="12"/>
      <c r="I1085" s="14"/>
      <c r="M1085" s="12"/>
      <c r="T1085" s="12"/>
      <c r="U1085" s="12"/>
      <c r="V1085" s="12"/>
      <c r="W1085" s="12"/>
      <c r="X1085" s="12"/>
      <c r="Y1085" s="12"/>
      <c r="Z1085" s="12"/>
      <c r="AA1085" s="12"/>
      <c r="AB1085" s="12"/>
      <c r="AC1085" s="12"/>
      <c r="AD1085" s="12"/>
      <c r="AE1085" s="12"/>
      <c r="AF1085" s="12"/>
      <c r="AG1085" s="12"/>
      <c r="AH1085" s="12"/>
      <c r="AI1085" s="12"/>
    </row>
    <row r="1086" spans="1:35" s="10" customFormat="1" x14ac:dyDescent="0.35">
      <c r="A1086" s="12"/>
      <c r="B1086" s="12"/>
      <c r="C1086" s="12"/>
      <c r="D1086" s="12"/>
      <c r="E1086" s="12"/>
      <c r="I1086" s="14"/>
      <c r="M1086" s="12"/>
      <c r="T1086" s="12"/>
      <c r="U1086" s="12"/>
      <c r="V1086" s="12"/>
      <c r="W1086" s="12"/>
      <c r="X1086" s="12"/>
      <c r="Y1086" s="12"/>
      <c r="Z1086" s="12"/>
      <c r="AA1086" s="12"/>
      <c r="AB1086" s="12"/>
      <c r="AC1086" s="12"/>
      <c r="AD1086" s="12"/>
      <c r="AE1086" s="12"/>
      <c r="AF1086" s="12"/>
      <c r="AG1086" s="12"/>
      <c r="AH1086" s="12"/>
      <c r="AI1086" s="12"/>
    </row>
    <row r="1087" spans="1:35" s="10" customFormat="1" x14ac:dyDescent="0.35">
      <c r="A1087" s="12"/>
      <c r="B1087" s="12"/>
      <c r="C1087" s="12"/>
      <c r="D1087" s="12"/>
      <c r="E1087" s="12"/>
      <c r="I1087" s="14"/>
      <c r="M1087" s="12"/>
      <c r="T1087" s="12"/>
      <c r="U1087" s="12"/>
      <c r="V1087" s="12"/>
      <c r="W1087" s="12"/>
      <c r="X1087" s="12"/>
      <c r="Y1087" s="12"/>
      <c r="Z1087" s="12"/>
      <c r="AA1087" s="12"/>
      <c r="AB1087" s="12"/>
      <c r="AC1087" s="12"/>
      <c r="AD1087" s="12"/>
      <c r="AE1087" s="12"/>
      <c r="AF1087" s="12"/>
      <c r="AG1087" s="12"/>
      <c r="AH1087" s="12"/>
      <c r="AI1087" s="12"/>
    </row>
    <row r="1088" spans="1:35" s="10" customFormat="1" x14ac:dyDescent="0.35">
      <c r="A1088" s="12"/>
      <c r="B1088" s="12"/>
      <c r="C1088" s="12"/>
      <c r="D1088" s="12"/>
      <c r="E1088" s="12"/>
      <c r="I1088" s="14"/>
      <c r="M1088" s="12"/>
      <c r="T1088" s="12"/>
      <c r="U1088" s="12"/>
      <c r="V1088" s="12"/>
      <c r="W1088" s="12"/>
      <c r="X1088" s="12"/>
      <c r="Y1088" s="12"/>
      <c r="Z1088" s="12"/>
      <c r="AA1088" s="12"/>
      <c r="AB1088" s="12"/>
      <c r="AC1088" s="12"/>
      <c r="AD1088" s="12"/>
      <c r="AE1088" s="12"/>
      <c r="AF1088" s="12"/>
      <c r="AG1088" s="12"/>
      <c r="AH1088" s="12"/>
      <c r="AI1088" s="12"/>
    </row>
    <row r="1089" spans="1:35" s="10" customFormat="1" x14ac:dyDescent="0.35">
      <c r="A1089" s="12"/>
      <c r="B1089" s="12"/>
      <c r="C1089" s="12"/>
      <c r="D1089" s="12"/>
      <c r="E1089" s="12"/>
      <c r="I1089" s="14"/>
      <c r="M1089" s="12"/>
      <c r="T1089" s="12"/>
      <c r="U1089" s="12"/>
      <c r="V1089" s="12"/>
      <c r="W1089" s="12"/>
      <c r="X1089" s="12"/>
      <c r="Y1089" s="12"/>
      <c r="Z1089" s="12"/>
      <c r="AA1089" s="12"/>
      <c r="AB1089" s="12"/>
      <c r="AC1089" s="12"/>
      <c r="AD1089" s="12"/>
      <c r="AE1089" s="12"/>
      <c r="AF1089" s="12"/>
      <c r="AG1089" s="12"/>
      <c r="AH1089" s="12"/>
      <c r="AI1089" s="12"/>
    </row>
    <row r="1090" spans="1:35" s="10" customFormat="1" x14ac:dyDescent="0.35">
      <c r="A1090" s="12"/>
      <c r="B1090" s="12"/>
      <c r="C1090" s="12"/>
      <c r="D1090" s="12"/>
      <c r="E1090" s="12"/>
      <c r="I1090" s="14"/>
      <c r="M1090" s="12"/>
      <c r="T1090" s="12"/>
      <c r="U1090" s="12"/>
      <c r="V1090" s="12"/>
      <c r="W1090" s="12"/>
      <c r="X1090" s="12"/>
      <c r="Y1090" s="12"/>
      <c r="Z1090" s="12"/>
      <c r="AA1090" s="12"/>
      <c r="AB1090" s="12"/>
      <c r="AC1090" s="12"/>
      <c r="AD1090" s="12"/>
      <c r="AE1090" s="12"/>
      <c r="AF1090" s="12"/>
      <c r="AG1090" s="12"/>
      <c r="AH1090" s="12"/>
      <c r="AI1090" s="12"/>
    </row>
    <row r="1091" spans="1:35" s="10" customFormat="1" x14ac:dyDescent="0.35">
      <c r="A1091" s="12"/>
      <c r="B1091" s="12"/>
      <c r="C1091" s="12"/>
      <c r="D1091" s="12"/>
      <c r="E1091" s="12"/>
      <c r="I1091" s="14"/>
      <c r="M1091" s="12"/>
      <c r="T1091" s="12"/>
      <c r="U1091" s="12"/>
      <c r="V1091" s="12"/>
      <c r="W1091" s="12"/>
      <c r="X1091" s="12"/>
      <c r="Y1091" s="12"/>
      <c r="Z1091" s="12"/>
      <c r="AA1091" s="12"/>
      <c r="AB1091" s="12"/>
      <c r="AC1091" s="12"/>
      <c r="AD1091" s="12"/>
      <c r="AE1091" s="12"/>
      <c r="AF1091" s="12"/>
      <c r="AG1091" s="12"/>
      <c r="AH1091" s="12"/>
      <c r="AI1091" s="12"/>
    </row>
    <row r="1092" spans="1:35" s="10" customFormat="1" x14ac:dyDescent="0.35">
      <c r="A1092" s="12"/>
      <c r="B1092" s="12"/>
      <c r="C1092" s="12"/>
      <c r="D1092" s="12"/>
      <c r="E1092" s="12"/>
      <c r="I1092" s="14"/>
      <c r="M1092" s="12"/>
      <c r="T1092" s="12"/>
      <c r="U1092" s="12"/>
      <c r="V1092" s="12"/>
      <c r="W1092" s="12"/>
      <c r="X1092" s="12"/>
      <c r="Y1092" s="12"/>
      <c r="Z1092" s="12"/>
      <c r="AA1092" s="12"/>
      <c r="AB1092" s="12"/>
      <c r="AC1092" s="12"/>
      <c r="AD1092" s="12"/>
      <c r="AE1092" s="12"/>
      <c r="AF1092" s="12"/>
      <c r="AG1092" s="12"/>
      <c r="AH1092" s="12"/>
      <c r="AI1092" s="12"/>
    </row>
    <row r="1093" spans="1:35" s="10" customFormat="1" x14ac:dyDescent="0.35">
      <c r="A1093" s="12"/>
      <c r="B1093" s="12"/>
      <c r="C1093" s="12"/>
      <c r="D1093" s="12"/>
      <c r="E1093" s="12"/>
      <c r="I1093" s="14"/>
      <c r="M1093" s="12"/>
      <c r="T1093" s="12"/>
      <c r="U1093" s="12"/>
      <c r="V1093" s="12"/>
      <c r="W1093" s="12"/>
      <c r="X1093" s="12"/>
      <c r="Y1093" s="12"/>
      <c r="Z1093" s="12"/>
      <c r="AA1093" s="12"/>
      <c r="AB1093" s="12"/>
      <c r="AC1093" s="12"/>
      <c r="AD1093" s="12"/>
      <c r="AE1093" s="12"/>
      <c r="AF1093" s="12"/>
      <c r="AG1093" s="12"/>
      <c r="AH1093" s="12"/>
      <c r="AI1093" s="12"/>
    </row>
    <row r="1094" spans="1:35" s="10" customFormat="1" x14ac:dyDescent="0.35">
      <c r="A1094" s="12"/>
      <c r="B1094" s="12"/>
      <c r="C1094" s="12"/>
      <c r="D1094" s="12"/>
      <c r="E1094" s="12"/>
      <c r="I1094" s="14"/>
      <c r="M1094" s="12"/>
      <c r="T1094" s="12"/>
      <c r="U1094" s="12"/>
      <c r="V1094" s="12"/>
      <c r="W1094" s="12"/>
      <c r="X1094" s="12"/>
      <c r="Y1094" s="12"/>
      <c r="Z1094" s="12"/>
      <c r="AA1094" s="12"/>
      <c r="AB1094" s="12"/>
      <c r="AC1094" s="12"/>
      <c r="AD1094" s="12"/>
      <c r="AE1094" s="12"/>
      <c r="AF1094" s="12"/>
      <c r="AG1094" s="12"/>
      <c r="AH1094" s="12"/>
      <c r="AI1094" s="12"/>
    </row>
    <row r="1095" spans="1:35" s="10" customFormat="1" x14ac:dyDescent="0.35">
      <c r="A1095" s="12"/>
      <c r="B1095" s="12"/>
      <c r="C1095" s="12"/>
      <c r="D1095" s="12"/>
      <c r="E1095" s="12"/>
      <c r="I1095" s="14"/>
      <c r="M1095" s="12"/>
      <c r="T1095" s="12"/>
      <c r="U1095" s="12"/>
      <c r="V1095" s="12"/>
      <c r="W1095" s="12"/>
      <c r="X1095" s="12"/>
      <c r="Y1095" s="12"/>
      <c r="Z1095" s="12"/>
      <c r="AA1095" s="12"/>
      <c r="AB1095" s="12"/>
      <c r="AC1095" s="12"/>
      <c r="AD1095" s="12"/>
      <c r="AE1095" s="12"/>
      <c r="AF1095" s="12"/>
      <c r="AG1095" s="12"/>
      <c r="AH1095" s="12"/>
      <c r="AI1095" s="12"/>
    </row>
    <row r="1096" spans="1:35" s="10" customFormat="1" x14ac:dyDescent="0.35">
      <c r="A1096" s="12"/>
      <c r="B1096" s="12"/>
      <c r="C1096" s="12"/>
      <c r="D1096" s="12"/>
      <c r="E1096" s="12"/>
      <c r="I1096" s="14"/>
      <c r="M1096" s="12"/>
      <c r="T1096" s="12"/>
      <c r="U1096" s="12"/>
      <c r="V1096" s="12"/>
      <c r="W1096" s="12"/>
      <c r="X1096" s="12"/>
      <c r="Y1096" s="12"/>
      <c r="Z1096" s="12"/>
      <c r="AA1096" s="12"/>
      <c r="AB1096" s="12"/>
      <c r="AC1096" s="12"/>
      <c r="AD1096" s="12"/>
      <c r="AE1096" s="12"/>
      <c r="AF1096" s="12"/>
      <c r="AG1096" s="12"/>
      <c r="AH1096" s="12"/>
      <c r="AI1096" s="12"/>
    </row>
    <row r="1097" spans="1:35" s="10" customFormat="1" x14ac:dyDescent="0.35">
      <c r="A1097" s="12"/>
      <c r="B1097" s="12"/>
      <c r="C1097" s="12"/>
      <c r="D1097" s="12"/>
      <c r="E1097" s="12"/>
      <c r="I1097" s="14"/>
      <c r="M1097" s="12"/>
      <c r="T1097" s="12"/>
      <c r="U1097" s="12"/>
      <c r="V1097" s="12"/>
      <c r="W1097" s="12"/>
      <c r="X1097" s="12"/>
      <c r="Y1097" s="12"/>
      <c r="Z1097" s="12"/>
      <c r="AA1097" s="12"/>
      <c r="AB1097" s="12"/>
      <c r="AC1097" s="12"/>
      <c r="AD1097" s="12"/>
      <c r="AE1097" s="12"/>
      <c r="AF1097" s="12"/>
      <c r="AG1097" s="12"/>
      <c r="AH1097" s="12"/>
      <c r="AI1097" s="12"/>
    </row>
    <row r="1098" spans="1:35" s="10" customFormat="1" x14ac:dyDescent="0.35">
      <c r="A1098" s="12"/>
      <c r="B1098" s="12"/>
      <c r="C1098" s="12"/>
      <c r="D1098" s="12"/>
      <c r="E1098" s="12"/>
      <c r="I1098" s="14"/>
      <c r="M1098" s="12"/>
      <c r="T1098" s="12"/>
      <c r="U1098" s="12"/>
      <c r="V1098" s="12"/>
      <c r="W1098" s="12"/>
      <c r="X1098" s="12"/>
      <c r="Y1098" s="12"/>
      <c r="Z1098" s="12"/>
      <c r="AA1098" s="12"/>
      <c r="AB1098" s="12"/>
      <c r="AC1098" s="12"/>
      <c r="AD1098" s="12"/>
      <c r="AE1098" s="12"/>
      <c r="AF1098" s="12"/>
      <c r="AG1098" s="12"/>
      <c r="AH1098" s="12"/>
      <c r="AI1098" s="12"/>
    </row>
    <row r="1099" spans="1:35" s="10" customFormat="1" x14ac:dyDescent="0.35">
      <c r="A1099" s="12"/>
      <c r="B1099" s="12"/>
      <c r="C1099" s="12"/>
      <c r="D1099" s="12"/>
      <c r="E1099" s="12"/>
      <c r="I1099" s="14"/>
      <c r="M1099" s="12"/>
      <c r="T1099" s="12"/>
      <c r="U1099" s="12"/>
      <c r="V1099" s="12"/>
      <c r="W1099" s="12"/>
      <c r="X1099" s="12"/>
      <c r="Y1099" s="12"/>
      <c r="Z1099" s="12"/>
      <c r="AA1099" s="12"/>
      <c r="AB1099" s="12"/>
      <c r="AC1099" s="12"/>
      <c r="AD1099" s="12"/>
      <c r="AE1099" s="12"/>
      <c r="AF1099" s="12"/>
      <c r="AG1099" s="12"/>
      <c r="AH1099" s="12"/>
      <c r="AI1099" s="12"/>
    </row>
    <row r="1100" spans="1:35" s="10" customFormat="1" x14ac:dyDescent="0.35">
      <c r="A1100" s="12"/>
      <c r="B1100" s="12"/>
      <c r="C1100" s="12"/>
      <c r="D1100" s="12"/>
      <c r="E1100" s="12"/>
      <c r="I1100" s="14"/>
      <c r="M1100" s="12"/>
      <c r="T1100" s="12"/>
      <c r="U1100" s="12"/>
      <c r="V1100" s="12"/>
      <c r="W1100" s="12"/>
      <c r="X1100" s="12"/>
      <c r="Y1100" s="12"/>
      <c r="Z1100" s="12"/>
      <c r="AA1100" s="12"/>
      <c r="AB1100" s="12"/>
      <c r="AC1100" s="12"/>
      <c r="AD1100" s="12"/>
      <c r="AE1100" s="12"/>
      <c r="AF1100" s="12"/>
      <c r="AG1100" s="12"/>
      <c r="AH1100" s="12"/>
      <c r="AI1100" s="12"/>
    </row>
    <row r="1101" spans="1:35" s="10" customFormat="1" x14ac:dyDescent="0.35">
      <c r="A1101" s="12"/>
      <c r="B1101" s="12"/>
      <c r="C1101" s="12"/>
      <c r="D1101" s="12"/>
      <c r="E1101" s="12"/>
      <c r="I1101" s="14"/>
      <c r="M1101" s="12"/>
      <c r="T1101" s="12"/>
      <c r="U1101" s="12"/>
      <c r="V1101" s="12"/>
      <c r="W1101" s="12"/>
      <c r="X1101" s="12"/>
      <c r="Y1101" s="12"/>
      <c r="Z1101" s="12"/>
      <c r="AA1101" s="12"/>
      <c r="AB1101" s="12"/>
      <c r="AC1101" s="12"/>
      <c r="AD1101" s="12"/>
      <c r="AE1101" s="12"/>
      <c r="AF1101" s="12"/>
      <c r="AG1101" s="12"/>
      <c r="AH1101" s="12"/>
      <c r="AI1101" s="12"/>
    </row>
    <row r="1102" spans="1:35" s="10" customFormat="1" x14ac:dyDescent="0.35">
      <c r="A1102" s="12"/>
      <c r="B1102" s="12"/>
      <c r="C1102" s="12"/>
      <c r="D1102" s="12"/>
      <c r="E1102" s="12"/>
      <c r="I1102" s="14"/>
      <c r="M1102" s="12"/>
      <c r="T1102" s="12"/>
      <c r="U1102" s="12"/>
      <c r="V1102" s="12"/>
      <c r="W1102" s="12"/>
      <c r="X1102" s="12"/>
      <c r="Y1102" s="12"/>
      <c r="Z1102" s="12"/>
      <c r="AA1102" s="12"/>
      <c r="AB1102" s="12"/>
      <c r="AC1102" s="12"/>
      <c r="AD1102" s="12"/>
      <c r="AE1102" s="12"/>
      <c r="AF1102" s="12"/>
      <c r="AG1102" s="12"/>
      <c r="AH1102" s="12"/>
      <c r="AI1102" s="12"/>
    </row>
    <row r="1103" spans="1:35" s="10" customFormat="1" x14ac:dyDescent="0.35">
      <c r="A1103" s="12"/>
      <c r="B1103" s="12"/>
      <c r="C1103" s="12"/>
      <c r="D1103" s="12"/>
      <c r="E1103" s="12"/>
      <c r="I1103" s="14"/>
      <c r="M1103" s="12"/>
      <c r="T1103" s="12"/>
      <c r="U1103" s="12"/>
      <c r="V1103" s="12"/>
      <c r="W1103" s="12"/>
      <c r="X1103" s="12"/>
      <c r="Y1103" s="12"/>
      <c r="Z1103" s="12"/>
      <c r="AA1103" s="12"/>
      <c r="AB1103" s="12"/>
      <c r="AC1103" s="12"/>
      <c r="AD1103" s="12"/>
      <c r="AE1103" s="12"/>
      <c r="AF1103" s="12"/>
      <c r="AG1103" s="12"/>
      <c r="AH1103" s="12"/>
      <c r="AI1103" s="12"/>
    </row>
    <row r="1104" spans="1:35" s="10" customFormat="1" x14ac:dyDescent="0.35">
      <c r="A1104" s="12"/>
      <c r="B1104" s="12"/>
      <c r="C1104" s="12"/>
      <c r="D1104" s="12"/>
      <c r="E1104" s="12"/>
      <c r="I1104" s="14"/>
      <c r="M1104" s="12"/>
      <c r="T1104" s="12"/>
      <c r="U1104" s="12"/>
      <c r="V1104" s="12"/>
      <c r="W1104" s="12"/>
      <c r="X1104" s="12"/>
      <c r="Y1104" s="12"/>
      <c r="Z1104" s="12"/>
      <c r="AA1104" s="12"/>
      <c r="AB1104" s="12"/>
      <c r="AC1104" s="12"/>
      <c r="AD1104" s="12"/>
      <c r="AE1104" s="12"/>
      <c r="AF1104" s="12"/>
      <c r="AG1104" s="12"/>
      <c r="AH1104" s="12"/>
      <c r="AI1104" s="12"/>
    </row>
    <row r="1105" spans="1:35" s="10" customFormat="1" x14ac:dyDescent="0.35">
      <c r="A1105" s="12"/>
      <c r="B1105" s="12"/>
      <c r="C1105" s="12"/>
      <c r="D1105" s="12"/>
      <c r="E1105" s="12"/>
      <c r="I1105" s="14"/>
      <c r="M1105" s="12"/>
      <c r="T1105" s="12"/>
      <c r="U1105" s="12"/>
      <c r="V1105" s="12"/>
      <c r="W1105" s="12"/>
      <c r="X1105" s="12"/>
      <c r="Y1105" s="12"/>
      <c r="Z1105" s="12"/>
      <c r="AA1105" s="12"/>
      <c r="AB1105" s="12"/>
      <c r="AC1105" s="12"/>
      <c r="AD1105" s="12"/>
      <c r="AE1105" s="12"/>
      <c r="AF1105" s="12"/>
      <c r="AG1105" s="12"/>
      <c r="AH1105" s="12"/>
      <c r="AI1105" s="12"/>
    </row>
    <row r="1106" spans="1:35" s="10" customFormat="1" x14ac:dyDescent="0.35">
      <c r="A1106" s="12"/>
      <c r="B1106" s="12"/>
      <c r="C1106" s="12"/>
      <c r="D1106" s="12"/>
      <c r="E1106" s="12"/>
      <c r="I1106" s="14"/>
      <c r="M1106" s="12"/>
      <c r="T1106" s="12"/>
      <c r="U1106" s="12"/>
      <c r="V1106" s="12"/>
      <c r="W1106" s="12"/>
      <c r="X1106" s="12"/>
      <c r="Y1106" s="12"/>
      <c r="Z1106" s="12"/>
      <c r="AA1106" s="12"/>
      <c r="AB1106" s="12"/>
      <c r="AC1106" s="12"/>
      <c r="AD1106" s="12"/>
      <c r="AE1106" s="12"/>
      <c r="AF1106" s="12"/>
      <c r="AG1106" s="12"/>
      <c r="AH1106" s="12"/>
      <c r="AI1106" s="12"/>
    </row>
    <row r="1107" spans="1:35" s="10" customFormat="1" x14ac:dyDescent="0.35">
      <c r="A1107" s="12"/>
      <c r="B1107" s="12"/>
      <c r="C1107" s="12"/>
      <c r="D1107" s="12"/>
      <c r="E1107" s="12"/>
      <c r="I1107" s="14"/>
      <c r="M1107" s="12"/>
      <c r="T1107" s="12"/>
      <c r="U1107" s="12"/>
      <c r="V1107" s="12"/>
      <c r="W1107" s="12"/>
      <c r="X1107" s="12"/>
      <c r="Y1107" s="12"/>
      <c r="Z1107" s="12"/>
      <c r="AA1107" s="12"/>
      <c r="AB1107" s="12"/>
      <c r="AC1107" s="12"/>
      <c r="AD1107" s="12"/>
      <c r="AE1107" s="12"/>
      <c r="AF1107" s="12"/>
      <c r="AG1107" s="12"/>
      <c r="AH1107" s="12"/>
      <c r="AI1107" s="12"/>
    </row>
    <row r="1108" spans="1:35" s="10" customFormat="1" x14ac:dyDescent="0.35">
      <c r="A1108" s="12"/>
      <c r="B1108" s="12"/>
      <c r="C1108" s="12"/>
      <c r="D1108" s="12"/>
      <c r="E1108" s="12"/>
      <c r="I1108" s="14"/>
      <c r="M1108" s="12"/>
      <c r="T1108" s="12"/>
      <c r="U1108" s="12"/>
      <c r="V1108" s="12"/>
      <c r="W1108" s="12"/>
      <c r="X1108" s="12"/>
      <c r="Y1108" s="12"/>
      <c r="Z1108" s="12"/>
      <c r="AA1108" s="12"/>
      <c r="AB1108" s="12"/>
      <c r="AC1108" s="12"/>
      <c r="AD1108" s="12"/>
      <c r="AE1108" s="12"/>
      <c r="AF1108" s="12"/>
      <c r="AG1108" s="12"/>
      <c r="AH1108" s="12"/>
      <c r="AI1108" s="12"/>
    </row>
    <row r="1109" spans="1:35" s="10" customFormat="1" x14ac:dyDescent="0.35">
      <c r="A1109" s="12"/>
      <c r="B1109" s="12"/>
      <c r="C1109" s="12"/>
      <c r="D1109" s="12"/>
      <c r="E1109" s="12"/>
      <c r="I1109" s="14"/>
      <c r="M1109" s="12"/>
      <c r="T1109" s="12"/>
      <c r="U1109" s="12"/>
      <c r="V1109" s="12"/>
      <c r="W1109" s="12"/>
      <c r="X1109" s="12"/>
      <c r="Y1109" s="12"/>
      <c r="Z1109" s="12"/>
      <c r="AA1109" s="12"/>
      <c r="AB1109" s="12"/>
      <c r="AC1109" s="12"/>
      <c r="AD1109" s="12"/>
      <c r="AE1109" s="12"/>
      <c r="AF1109" s="12"/>
      <c r="AG1109" s="12"/>
      <c r="AH1109" s="12"/>
      <c r="AI1109" s="12"/>
    </row>
    <row r="1110" spans="1:35" s="10" customFormat="1" x14ac:dyDescent="0.35">
      <c r="A1110" s="12"/>
      <c r="B1110" s="12"/>
      <c r="C1110" s="12"/>
      <c r="D1110" s="12"/>
      <c r="E1110" s="12"/>
      <c r="I1110" s="14"/>
      <c r="M1110" s="12"/>
      <c r="T1110" s="12"/>
      <c r="U1110" s="12"/>
      <c r="V1110" s="12"/>
      <c r="W1110" s="12"/>
      <c r="X1110" s="12"/>
      <c r="Y1110" s="12"/>
      <c r="Z1110" s="12"/>
      <c r="AA1110" s="12"/>
      <c r="AB1110" s="12"/>
      <c r="AC1110" s="12"/>
      <c r="AD1110" s="12"/>
      <c r="AE1110" s="12"/>
      <c r="AF1110" s="12"/>
      <c r="AG1110" s="12"/>
      <c r="AH1110" s="12"/>
      <c r="AI1110" s="12"/>
    </row>
    <row r="1111" spans="1:35" s="10" customFormat="1" x14ac:dyDescent="0.35">
      <c r="A1111" s="12"/>
      <c r="B1111" s="12"/>
      <c r="C1111" s="12"/>
      <c r="D1111" s="12"/>
      <c r="E1111" s="12"/>
      <c r="I1111" s="14"/>
      <c r="M1111" s="12"/>
      <c r="T1111" s="12"/>
      <c r="U1111" s="12"/>
      <c r="V1111" s="12"/>
      <c r="W1111" s="12"/>
      <c r="X1111" s="12"/>
      <c r="Y1111" s="12"/>
      <c r="Z1111" s="12"/>
      <c r="AA1111" s="12"/>
      <c r="AB1111" s="12"/>
      <c r="AC1111" s="12"/>
      <c r="AD1111" s="12"/>
      <c r="AE1111" s="12"/>
      <c r="AF1111" s="12"/>
      <c r="AG1111" s="12"/>
      <c r="AH1111" s="12"/>
      <c r="AI1111" s="12"/>
    </row>
    <row r="1112" spans="1:35" s="10" customFormat="1" x14ac:dyDescent="0.35">
      <c r="A1112" s="12"/>
      <c r="B1112" s="12"/>
      <c r="C1112" s="12"/>
      <c r="D1112" s="12"/>
      <c r="E1112" s="12"/>
      <c r="I1112" s="14"/>
      <c r="M1112" s="12"/>
      <c r="T1112" s="12"/>
      <c r="U1112" s="12"/>
      <c r="V1112" s="12"/>
      <c r="W1112" s="12"/>
      <c r="X1112" s="12"/>
      <c r="Y1112" s="12"/>
      <c r="Z1112" s="12"/>
      <c r="AA1112" s="12"/>
      <c r="AB1112" s="12"/>
      <c r="AC1112" s="12"/>
      <c r="AD1112" s="12"/>
      <c r="AE1112" s="12"/>
      <c r="AF1112" s="12"/>
      <c r="AG1112" s="12"/>
      <c r="AH1112" s="12"/>
      <c r="AI1112" s="12"/>
    </row>
    <row r="1113" spans="1:35" s="10" customFormat="1" x14ac:dyDescent="0.35">
      <c r="A1113" s="12"/>
      <c r="B1113" s="12"/>
      <c r="C1113" s="12"/>
      <c r="D1113" s="12"/>
      <c r="E1113" s="12"/>
      <c r="I1113" s="14"/>
      <c r="M1113" s="12"/>
      <c r="T1113" s="12"/>
      <c r="U1113" s="12"/>
      <c r="V1113" s="12"/>
      <c r="W1113" s="12"/>
      <c r="X1113" s="12"/>
      <c r="Y1113" s="12"/>
      <c r="Z1113" s="12"/>
      <c r="AA1113" s="12"/>
      <c r="AB1113" s="12"/>
      <c r="AC1113" s="12"/>
      <c r="AD1113" s="12"/>
      <c r="AE1113" s="12"/>
      <c r="AF1113" s="12"/>
      <c r="AG1113" s="12"/>
      <c r="AH1113" s="12"/>
      <c r="AI1113" s="12"/>
    </row>
    <row r="1114" spans="1:35" s="10" customFormat="1" x14ac:dyDescent="0.35">
      <c r="A1114" s="12"/>
      <c r="B1114" s="12"/>
      <c r="C1114" s="12"/>
      <c r="D1114" s="12"/>
      <c r="E1114" s="12"/>
      <c r="I1114" s="14"/>
      <c r="M1114" s="12"/>
      <c r="T1114" s="12"/>
      <c r="U1114" s="12"/>
      <c r="V1114" s="12"/>
      <c r="W1114" s="12"/>
      <c r="X1114" s="12"/>
      <c r="Y1114" s="12"/>
      <c r="Z1114" s="12"/>
      <c r="AA1114" s="12"/>
      <c r="AB1114" s="12"/>
      <c r="AC1114" s="12"/>
      <c r="AD1114" s="12"/>
      <c r="AE1114" s="12"/>
      <c r="AF1114" s="12"/>
      <c r="AG1114" s="12"/>
      <c r="AH1114" s="12"/>
      <c r="AI1114" s="12"/>
    </row>
    <row r="1115" spans="1:35" s="10" customFormat="1" x14ac:dyDescent="0.35">
      <c r="A1115" s="12"/>
      <c r="B1115" s="12"/>
      <c r="C1115" s="12"/>
      <c r="D1115" s="12"/>
      <c r="E1115" s="12"/>
      <c r="I1115" s="14"/>
      <c r="M1115" s="12"/>
      <c r="T1115" s="12"/>
      <c r="U1115" s="12"/>
      <c r="V1115" s="12"/>
      <c r="W1115" s="12"/>
      <c r="X1115" s="12"/>
      <c r="Y1115" s="12"/>
      <c r="Z1115" s="12"/>
      <c r="AA1115" s="12"/>
      <c r="AB1115" s="12"/>
      <c r="AC1115" s="12"/>
      <c r="AD1115" s="12"/>
      <c r="AE1115" s="12"/>
      <c r="AF1115" s="12"/>
      <c r="AG1115" s="12"/>
      <c r="AH1115" s="12"/>
      <c r="AI1115" s="12"/>
    </row>
    <row r="1116" spans="1:35" s="10" customFormat="1" x14ac:dyDescent="0.35">
      <c r="A1116" s="12"/>
      <c r="B1116" s="12"/>
      <c r="C1116" s="12"/>
      <c r="D1116" s="12"/>
      <c r="E1116" s="12"/>
      <c r="I1116" s="14"/>
      <c r="M1116" s="12"/>
      <c r="T1116" s="12"/>
      <c r="U1116" s="12"/>
      <c r="V1116" s="12"/>
      <c r="W1116" s="12"/>
      <c r="X1116" s="12"/>
      <c r="Y1116" s="12"/>
      <c r="Z1116" s="12"/>
      <c r="AA1116" s="12"/>
      <c r="AB1116" s="12"/>
      <c r="AC1116" s="12"/>
      <c r="AD1116" s="12"/>
      <c r="AE1116" s="12"/>
      <c r="AF1116" s="12"/>
      <c r="AG1116" s="12"/>
      <c r="AH1116" s="12"/>
      <c r="AI1116" s="12"/>
    </row>
    <row r="1117" spans="1:35" s="10" customFormat="1" x14ac:dyDescent="0.35">
      <c r="A1117" s="12"/>
      <c r="B1117" s="12"/>
      <c r="C1117" s="12"/>
      <c r="D1117" s="12"/>
      <c r="E1117" s="12"/>
      <c r="I1117" s="14"/>
      <c r="M1117" s="12"/>
      <c r="T1117" s="12"/>
      <c r="U1117" s="12"/>
      <c r="V1117" s="12"/>
      <c r="W1117" s="12"/>
      <c r="X1117" s="12"/>
      <c r="Y1117" s="12"/>
      <c r="Z1117" s="12"/>
      <c r="AA1117" s="12"/>
      <c r="AB1117" s="12"/>
      <c r="AC1117" s="12"/>
      <c r="AD1117" s="12"/>
      <c r="AE1117" s="12"/>
      <c r="AF1117" s="12"/>
      <c r="AG1117" s="12"/>
      <c r="AH1117" s="12"/>
      <c r="AI1117" s="12"/>
    </row>
    <row r="1118" spans="1:35" s="10" customFormat="1" x14ac:dyDescent="0.35">
      <c r="A1118" s="12"/>
      <c r="B1118" s="12"/>
      <c r="C1118" s="12"/>
      <c r="D1118" s="12"/>
      <c r="E1118" s="12"/>
      <c r="I1118" s="14"/>
      <c r="M1118" s="12"/>
      <c r="T1118" s="12"/>
      <c r="U1118" s="12"/>
      <c r="V1118" s="12"/>
      <c r="W1118" s="12"/>
      <c r="X1118" s="12"/>
      <c r="Y1118" s="12"/>
      <c r="Z1118" s="12"/>
      <c r="AA1118" s="12"/>
      <c r="AB1118" s="12"/>
      <c r="AC1118" s="12"/>
      <c r="AD1118" s="12"/>
      <c r="AE1118" s="12"/>
      <c r="AF1118" s="12"/>
      <c r="AG1118" s="12"/>
      <c r="AH1118" s="12"/>
      <c r="AI1118" s="12"/>
    </row>
    <row r="1119" spans="1:35" s="10" customFormat="1" x14ac:dyDescent="0.35">
      <c r="A1119" s="12"/>
      <c r="B1119" s="12"/>
      <c r="C1119" s="12"/>
      <c r="D1119" s="12"/>
      <c r="E1119" s="12"/>
      <c r="I1119" s="14"/>
      <c r="M1119" s="12"/>
      <c r="T1119" s="12"/>
      <c r="U1119" s="12"/>
      <c r="V1119" s="12"/>
      <c r="W1119" s="12"/>
      <c r="X1119" s="12"/>
      <c r="Y1119" s="12"/>
      <c r="Z1119" s="12"/>
      <c r="AA1119" s="12"/>
      <c r="AB1119" s="12"/>
      <c r="AC1119" s="12"/>
      <c r="AD1119" s="12"/>
      <c r="AE1119" s="12"/>
      <c r="AF1119" s="12"/>
      <c r="AG1119" s="12"/>
      <c r="AH1119" s="12"/>
      <c r="AI1119" s="12"/>
    </row>
    <row r="1120" spans="1:35" s="10" customFormat="1" x14ac:dyDescent="0.35">
      <c r="A1120" s="12"/>
      <c r="B1120" s="12"/>
      <c r="C1120" s="12"/>
      <c r="D1120" s="12"/>
      <c r="E1120" s="12"/>
      <c r="I1120" s="14"/>
      <c r="M1120" s="12"/>
      <c r="T1120" s="12"/>
      <c r="U1120" s="12"/>
      <c r="V1120" s="12"/>
      <c r="W1120" s="12"/>
      <c r="X1120" s="12"/>
      <c r="Y1120" s="12"/>
      <c r="Z1120" s="12"/>
      <c r="AA1120" s="12"/>
      <c r="AB1120" s="12"/>
      <c r="AC1120" s="12"/>
      <c r="AD1120" s="12"/>
      <c r="AE1120" s="12"/>
      <c r="AF1120" s="12"/>
      <c r="AG1120" s="12"/>
      <c r="AH1120" s="12"/>
      <c r="AI1120" s="12"/>
    </row>
    <row r="1121" spans="1:35" s="10" customFormat="1" x14ac:dyDescent="0.35">
      <c r="A1121" s="12"/>
      <c r="B1121" s="12"/>
      <c r="C1121" s="12"/>
      <c r="D1121" s="12"/>
      <c r="E1121" s="12"/>
      <c r="I1121" s="14"/>
      <c r="M1121" s="12"/>
      <c r="T1121" s="12"/>
      <c r="U1121" s="12"/>
      <c r="V1121" s="12"/>
      <c r="W1121" s="12"/>
      <c r="X1121" s="12"/>
      <c r="Y1121" s="12"/>
      <c r="Z1121" s="12"/>
      <c r="AA1121" s="12"/>
      <c r="AB1121" s="12"/>
      <c r="AC1121" s="12"/>
      <c r="AD1121" s="12"/>
      <c r="AE1121" s="12"/>
      <c r="AF1121" s="12"/>
      <c r="AG1121" s="12"/>
      <c r="AH1121" s="12"/>
      <c r="AI1121" s="12"/>
    </row>
    <row r="1122" spans="1:35" s="10" customFormat="1" x14ac:dyDescent="0.35">
      <c r="A1122" s="12"/>
      <c r="B1122" s="12"/>
      <c r="C1122" s="12"/>
      <c r="D1122" s="12"/>
      <c r="E1122" s="12"/>
      <c r="I1122" s="14"/>
      <c r="M1122" s="12"/>
      <c r="T1122" s="12"/>
      <c r="U1122" s="12"/>
      <c r="V1122" s="12"/>
      <c r="W1122" s="12"/>
      <c r="X1122" s="12"/>
      <c r="Y1122" s="12"/>
      <c r="Z1122" s="12"/>
      <c r="AA1122" s="12"/>
      <c r="AB1122" s="12"/>
      <c r="AC1122" s="12"/>
      <c r="AD1122" s="12"/>
      <c r="AE1122" s="12"/>
      <c r="AF1122" s="12"/>
      <c r="AG1122" s="12"/>
      <c r="AH1122" s="12"/>
      <c r="AI1122" s="12"/>
    </row>
    <row r="1123" spans="1:35" s="10" customFormat="1" x14ac:dyDescent="0.35">
      <c r="A1123" s="12"/>
      <c r="B1123" s="12"/>
      <c r="C1123" s="12"/>
      <c r="D1123" s="12"/>
      <c r="E1123" s="12"/>
      <c r="I1123" s="14"/>
      <c r="M1123" s="12"/>
      <c r="T1123" s="12"/>
      <c r="U1123" s="12"/>
      <c r="V1123" s="12"/>
      <c r="W1123" s="12"/>
      <c r="X1123" s="12"/>
      <c r="Y1123" s="12"/>
      <c r="Z1123" s="12"/>
      <c r="AA1123" s="12"/>
      <c r="AB1123" s="12"/>
      <c r="AC1123" s="12"/>
      <c r="AD1123" s="12"/>
      <c r="AE1123" s="12"/>
      <c r="AF1123" s="12"/>
      <c r="AG1123" s="12"/>
      <c r="AH1123" s="12"/>
      <c r="AI1123" s="12"/>
    </row>
    <row r="1124" spans="1:35" s="10" customFormat="1" x14ac:dyDescent="0.35">
      <c r="A1124" s="12"/>
      <c r="B1124" s="12"/>
      <c r="C1124" s="12"/>
      <c r="D1124" s="12"/>
      <c r="E1124" s="12"/>
      <c r="I1124" s="14"/>
      <c r="M1124" s="12"/>
      <c r="T1124" s="12"/>
      <c r="U1124" s="12"/>
      <c r="V1124" s="12"/>
      <c r="W1124" s="12"/>
      <c r="X1124" s="12"/>
      <c r="Y1124" s="12"/>
      <c r="Z1124" s="12"/>
      <c r="AA1124" s="12"/>
      <c r="AB1124" s="12"/>
      <c r="AC1124" s="12"/>
      <c r="AD1124" s="12"/>
      <c r="AE1124" s="12"/>
      <c r="AF1124" s="12"/>
      <c r="AG1124" s="12"/>
      <c r="AH1124" s="12"/>
      <c r="AI1124" s="12"/>
    </row>
    <row r="1125" spans="1:35" s="10" customFormat="1" x14ac:dyDescent="0.35">
      <c r="A1125" s="12"/>
      <c r="B1125" s="12"/>
      <c r="C1125" s="12"/>
      <c r="D1125" s="12"/>
      <c r="E1125" s="12"/>
      <c r="I1125" s="14"/>
      <c r="M1125" s="12"/>
      <c r="T1125" s="12"/>
      <c r="U1125" s="12"/>
      <c r="V1125" s="12"/>
      <c r="W1125" s="12"/>
      <c r="X1125" s="12"/>
      <c r="Y1125" s="12"/>
      <c r="Z1125" s="12"/>
      <c r="AA1125" s="12"/>
      <c r="AB1125" s="12"/>
      <c r="AC1125" s="12"/>
      <c r="AD1125" s="12"/>
      <c r="AE1125" s="12"/>
      <c r="AF1125" s="12"/>
      <c r="AG1125" s="12"/>
      <c r="AH1125" s="12"/>
      <c r="AI1125" s="12"/>
    </row>
    <row r="1126" spans="1:35" s="10" customFormat="1" x14ac:dyDescent="0.35">
      <c r="A1126" s="12"/>
      <c r="B1126" s="12"/>
      <c r="C1126" s="12"/>
      <c r="D1126" s="12"/>
      <c r="E1126" s="12"/>
      <c r="I1126" s="14"/>
      <c r="M1126" s="12"/>
      <c r="T1126" s="12"/>
      <c r="U1126" s="12"/>
      <c r="V1126" s="12"/>
      <c r="W1126" s="12"/>
      <c r="X1126" s="12"/>
      <c r="Y1126" s="12"/>
      <c r="Z1126" s="12"/>
      <c r="AA1126" s="12"/>
      <c r="AB1126" s="12"/>
      <c r="AC1126" s="12"/>
      <c r="AD1126" s="12"/>
      <c r="AE1126" s="12"/>
      <c r="AF1126" s="12"/>
      <c r="AG1126" s="12"/>
      <c r="AH1126" s="12"/>
      <c r="AI1126" s="12"/>
    </row>
    <row r="1127" spans="1:35" s="10" customFormat="1" x14ac:dyDescent="0.35">
      <c r="A1127" s="12"/>
      <c r="B1127" s="12"/>
      <c r="C1127" s="12"/>
      <c r="D1127" s="12"/>
      <c r="E1127" s="12"/>
      <c r="I1127" s="14"/>
      <c r="M1127" s="12"/>
      <c r="T1127" s="12"/>
      <c r="U1127" s="12"/>
      <c r="V1127" s="12"/>
      <c r="W1127" s="12"/>
      <c r="X1127" s="12"/>
      <c r="Y1127" s="12"/>
      <c r="Z1127" s="12"/>
      <c r="AA1127" s="12"/>
      <c r="AB1127" s="12"/>
      <c r="AC1127" s="12"/>
      <c r="AD1127" s="12"/>
      <c r="AE1127" s="12"/>
      <c r="AF1127" s="12"/>
      <c r="AG1127" s="12"/>
      <c r="AH1127" s="12"/>
      <c r="AI1127" s="12"/>
    </row>
    <row r="1128" spans="1:35" s="10" customFormat="1" x14ac:dyDescent="0.35">
      <c r="A1128" s="12"/>
      <c r="B1128" s="12"/>
      <c r="C1128" s="12"/>
      <c r="D1128" s="12"/>
      <c r="E1128" s="12"/>
      <c r="I1128" s="14"/>
      <c r="M1128" s="12"/>
      <c r="T1128" s="12"/>
      <c r="U1128" s="12"/>
      <c r="V1128" s="12"/>
      <c r="W1128" s="12"/>
      <c r="X1128" s="12"/>
      <c r="Y1128" s="12"/>
      <c r="Z1128" s="12"/>
      <c r="AA1128" s="12"/>
      <c r="AB1128" s="12"/>
      <c r="AC1128" s="12"/>
      <c r="AD1128" s="12"/>
      <c r="AE1128" s="12"/>
      <c r="AF1128" s="12"/>
      <c r="AG1128" s="12"/>
      <c r="AH1128" s="12"/>
      <c r="AI1128" s="12"/>
    </row>
    <row r="1129" spans="1:35" s="10" customFormat="1" x14ac:dyDescent="0.35">
      <c r="A1129" s="12"/>
      <c r="B1129" s="12"/>
      <c r="C1129" s="12"/>
      <c r="D1129" s="12"/>
      <c r="E1129" s="12"/>
      <c r="I1129" s="14"/>
      <c r="M1129" s="12"/>
      <c r="T1129" s="12"/>
      <c r="U1129" s="12"/>
      <c r="V1129" s="12"/>
      <c r="W1129" s="12"/>
      <c r="X1129" s="12"/>
      <c r="Y1129" s="12"/>
      <c r="Z1129" s="12"/>
      <c r="AA1129" s="12"/>
      <c r="AB1129" s="12"/>
      <c r="AC1129" s="12"/>
      <c r="AD1129" s="12"/>
      <c r="AE1129" s="12"/>
      <c r="AF1129" s="12"/>
      <c r="AG1129" s="12"/>
      <c r="AH1129" s="12"/>
      <c r="AI1129" s="12"/>
    </row>
    <row r="1130" spans="1:35" s="10" customFormat="1" x14ac:dyDescent="0.35">
      <c r="A1130" s="12"/>
      <c r="B1130" s="12"/>
      <c r="C1130" s="12"/>
      <c r="D1130" s="12"/>
      <c r="E1130" s="12"/>
      <c r="I1130" s="14"/>
      <c r="M1130" s="12"/>
      <c r="T1130" s="12"/>
      <c r="U1130" s="12"/>
      <c r="V1130" s="12"/>
      <c r="W1130" s="12"/>
      <c r="X1130" s="12"/>
      <c r="Y1130" s="12"/>
      <c r="Z1130" s="12"/>
      <c r="AA1130" s="12"/>
      <c r="AB1130" s="12"/>
      <c r="AC1130" s="12"/>
      <c r="AD1130" s="12"/>
      <c r="AE1130" s="12"/>
      <c r="AF1130" s="12"/>
      <c r="AG1130" s="12"/>
      <c r="AH1130" s="12"/>
      <c r="AI1130" s="12"/>
    </row>
    <row r="1131" spans="1:35" s="10" customFormat="1" x14ac:dyDescent="0.35">
      <c r="A1131" s="12"/>
      <c r="B1131" s="12"/>
      <c r="C1131" s="12"/>
      <c r="D1131" s="12"/>
      <c r="E1131" s="12"/>
      <c r="I1131" s="14"/>
      <c r="M1131" s="12"/>
      <c r="T1131" s="12"/>
      <c r="U1131" s="12"/>
      <c r="V1131" s="12"/>
      <c r="W1131" s="12"/>
      <c r="X1131" s="12"/>
      <c r="Y1131" s="12"/>
      <c r="Z1131" s="12"/>
      <c r="AA1131" s="12"/>
      <c r="AB1131" s="12"/>
      <c r="AC1131" s="12"/>
      <c r="AD1131" s="12"/>
      <c r="AE1131" s="12"/>
      <c r="AF1131" s="12"/>
      <c r="AG1131" s="12"/>
      <c r="AH1131" s="12"/>
      <c r="AI1131" s="12"/>
    </row>
    <row r="1132" spans="1:35" s="10" customFormat="1" x14ac:dyDescent="0.35">
      <c r="A1132" s="12"/>
      <c r="B1132" s="12"/>
      <c r="C1132" s="12"/>
      <c r="D1132" s="12"/>
      <c r="E1132" s="12"/>
      <c r="I1132" s="14"/>
      <c r="M1132" s="12"/>
      <c r="T1132" s="12"/>
      <c r="U1132" s="12"/>
      <c r="V1132" s="12"/>
      <c r="W1132" s="12"/>
      <c r="X1132" s="12"/>
      <c r="Y1132" s="12"/>
      <c r="Z1132" s="12"/>
      <c r="AA1132" s="12"/>
      <c r="AB1132" s="12"/>
      <c r="AC1132" s="12"/>
      <c r="AD1132" s="12"/>
      <c r="AE1132" s="12"/>
      <c r="AF1132" s="12"/>
      <c r="AG1132" s="12"/>
      <c r="AH1132" s="12"/>
      <c r="AI1132" s="12"/>
    </row>
    <row r="1133" spans="1:35" s="10" customFormat="1" x14ac:dyDescent="0.35">
      <c r="A1133" s="12"/>
      <c r="B1133" s="12"/>
      <c r="C1133" s="12"/>
      <c r="D1133" s="12"/>
      <c r="E1133" s="12"/>
      <c r="I1133" s="14"/>
      <c r="M1133" s="12"/>
      <c r="T1133" s="12"/>
      <c r="U1133" s="12"/>
      <c r="V1133" s="12"/>
      <c r="W1133" s="12"/>
      <c r="X1133" s="12"/>
      <c r="Y1133" s="12"/>
      <c r="Z1133" s="12"/>
      <c r="AA1133" s="12"/>
      <c r="AB1133" s="12"/>
      <c r="AC1133" s="12"/>
      <c r="AD1133" s="12"/>
      <c r="AE1133" s="12"/>
      <c r="AF1133" s="12"/>
      <c r="AG1133" s="12"/>
      <c r="AH1133" s="12"/>
      <c r="AI1133" s="12"/>
    </row>
    <row r="1134" spans="1:35" s="10" customFormat="1" x14ac:dyDescent="0.35">
      <c r="A1134" s="12"/>
      <c r="B1134" s="12"/>
      <c r="C1134" s="12"/>
      <c r="D1134" s="12"/>
      <c r="E1134" s="12"/>
      <c r="I1134" s="14"/>
      <c r="M1134" s="12"/>
      <c r="T1134" s="12"/>
      <c r="U1134" s="12"/>
      <c r="V1134" s="12"/>
      <c r="W1134" s="12"/>
      <c r="X1134" s="12"/>
      <c r="Y1134" s="12"/>
      <c r="Z1134" s="12"/>
      <c r="AA1134" s="12"/>
      <c r="AB1134" s="12"/>
      <c r="AC1134" s="12"/>
      <c r="AD1134" s="12"/>
      <c r="AE1134" s="12"/>
      <c r="AF1134" s="12"/>
      <c r="AG1134" s="12"/>
      <c r="AH1134" s="12"/>
      <c r="AI1134" s="12"/>
    </row>
    <row r="1135" spans="1:35" s="10" customFormat="1" x14ac:dyDescent="0.35">
      <c r="A1135" s="12"/>
      <c r="B1135" s="12"/>
      <c r="C1135" s="12"/>
      <c r="D1135" s="12"/>
      <c r="E1135" s="12"/>
      <c r="I1135" s="14"/>
      <c r="M1135" s="12"/>
      <c r="T1135" s="12"/>
      <c r="U1135" s="12"/>
      <c r="V1135" s="12"/>
      <c r="W1135" s="12"/>
      <c r="X1135" s="12"/>
      <c r="Y1135" s="12"/>
      <c r="Z1135" s="12"/>
      <c r="AA1135" s="12"/>
      <c r="AB1135" s="12"/>
      <c r="AC1135" s="12"/>
      <c r="AD1135" s="12"/>
      <c r="AE1135" s="12"/>
      <c r="AF1135" s="12"/>
      <c r="AG1135" s="12"/>
      <c r="AH1135" s="12"/>
      <c r="AI1135" s="12"/>
    </row>
    <row r="1136" spans="1:35" s="10" customFormat="1" x14ac:dyDescent="0.35">
      <c r="A1136" s="12"/>
      <c r="B1136" s="12"/>
      <c r="C1136" s="12"/>
      <c r="D1136" s="12"/>
      <c r="E1136" s="12"/>
      <c r="I1136" s="14"/>
      <c r="M1136" s="12"/>
      <c r="T1136" s="12"/>
      <c r="U1136" s="12"/>
      <c r="V1136" s="12"/>
      <c r="W1136" s="12"/>
      <c r="X1136" s="12"/>
      <c r="Y1136" s="12"/>
      <c r="Z1136" s="12"/>
      <c r="AA1136" s="12"/>
      <c r="AB1136" s="12"/>
      <c r="AC1136" s="12"/>
      <c r="AD1136" s="12"/>
      <c r="AE1136" s="12"/>
      <c r="AF1136" s="12"/>
      <c r="AG1136" s="12"/>
      <c r="AH1136" s="12"/>
      <c r="AI1136" s="12"/>
    </row>
    <row r="1137" spans="1:35" s="10" customFormat="1" x14ac:dyDescent="0.35">
      <c r="A1137" s="12"/>
      <c r="B1137" s="12"/>
      <c r="C1137" s="12"/>
      <c r="D1137" s="12"/>
      <c r="E1137" s="12"/>
      <c r="I1137" s="14"/>
      <c r="M1137" s="12"/>
      <c r="T1137" s="12"/>
      <c r="U1137" s="12"/>
      <c r="V1137" s="12"/>
      <c r="W1137" s="12"/>
      <c r="X1137" s="12"/>
      <c r="Y1137" s="12"/>
      <c r="Z1137" s="12"/>
      <c r="AA1137" s="12"/>
      <c r="AB1137" s="12"/>
      <c r="AC1137" s="12"/>
      <c r="AD1137" s="12"/>
      <c r="AE1137" s="12"/>
      <c r="AF1137" s="12"/>
      <c r="AG1137" s="12"/>
      <c r="AH1137" s="12"/>
      <c r="AI1137" s="12"/>
    </row>
    <row r="1138" spans="1:35" s="10" customFormat="1" x14ac:dyDescent="0.35">
      <c r="A1138" s="12"/>
      <c r="B1138" s="12"/>
      <c r="C1138" s="12"/>
      <c r="D1138" s="12"/>
      <c r="E1138" s="12"/>
      <c r="I1138" s="14"/>
      <c r="M1138" s="12"/>
      <c r="T1138" s="12"/>
      <c r="U1138" s="12"/>
      <c r="V1138" s="12"/>
      <c r="W1138" s="12"/>
      <c r="X1138" s="12"/>
      <c r="Y1138" s="12"/>
      <c r="Z1138" s="12"/>
      <c r="AA1138" s="12"/>
      <c r="AB1138" s="12"/>
      <c r="AC1138" s="12"/>
      <c r="AD1138" s="12"/>
      <c r="AE1138" s="12"/>
      <c r="AF1138" s="12"/>
      <c r="AG1138" s="12"/>
      <c r="AH1138" s="12"/>
      <c r="AI1138" s="12"/>
    </row>
    <row r="1139" spans="1:35" s="10" customFormat="1" x14ac:dyDescent="0.35">
      <c r="A1139" s="12"/>
      <c r="B1139" s="12"/>
      <c r="C1139" s="12"/>
      <c r="D1139" s="12"/>
      <c r="E1139" s="12"/>
      <c r="I1139" s="14"/>
      <c r="M1139" s="12"/>
      <c r="T1139" s="12"/>
      <c r="U1139" s="12"/>
      <c r="V1139" s="12"/>
      <c r="W1139" s="12"/>
      <c r="X1139" s="12"/>
      <c r="Y1139" s="12"/>
      <c r="Z1139" s="12"/>
      <c r="AA1139" s="12"/>
      <c r="AB1139" s="12"/>
      <c r="AC1139" s="12"/>
      <c r="AD1139" s="12"/>
      <c r="AE1139" s="12"/>
      <c r="AF1139" s="12"/>
      <c r="AG1139" s="12"/>
      <c r="AH1139" s="12"/>
      <c r="AI1139" s="12"/>
    </row>
    <row r="1140" spans="1:35" s="10" customFormat="1" x14ac:dyDescent="0.35">
      <c r="A1140" s="12"/>
      <c r="B1140" s="12"/>
      <c r="C1140" s="12"/>
      <c r="D1140" s="12"/>
      <c r="E1140" s="12"/>
      <c r="I1140" s="14"/>
      <c r="M1140" s="12"/>
      <c r="T1140" s="12"/>
      <c r="U1140" s="12"/>
      <c r="V1140" s="12"/>
      <c r="W1140" s="12"/>
      <c r="X1140" s="12"/>
      <c r="Y1140" s="12"/>
      <c r="Z1140" s="12"/>
      <c r="AA1140" s="12"/>
      <c r="AB1140" s="12"/>
      <c r="AC1140" s="12"/>
      <c r="AD1140" s="12"/>
      <c r="AE1140" s="12"/>
      <c r="AF1140" s="12"/>
      <c r="AG1140" s="12"/>
      <c r="AH1140" s="12"/>
      <c r="AI1140" s="12"/>
    </row>
    <row r="1141" spans="1:35" s="10" customFormat="1" x14ac:dyDescent="0.35">
      <c r="A1141" s="12"/>
      <c r="B1141" s="12"/>
      <c r="C1141" s="12"/>
      <c r="D1141" s="12"/>
      <c r="E1141" s="12"/>
      <c r="I1141" s="14"/>
      <c r="M1141" s="12"/>
      <c r="T1141" s="12"/>
      <c r="U1141" s="12"/>
      <c r="V1141" s="12"/>
      <c r="W1141" s="12"/>
      <c r="X1141" s="12"/>
      <c r="Y1141" s="12"/>
      <c r="Z1141" s="12"/>
      <c r="AA1141" s="12"/>
      <c r="AB1141" s="12"/>
      <c r="AC1141" s="12"/>
      <c r="AD1141" s="12"/>
      <c r="AE1141" s="12"/>
      <c r="AF1141" s="12"/>
      <c r="AG1141" s="12"/>
      <c r="AH1141" s="12"/>
      <c r="AI1141" s="12"/>
    </row>
    <row r="1142" spans="1:35" s="10" customFormat="1" x14ac:dyDescent="0.35">
      <c r="A1142" s="12"/>
      <c r="B1142" s="12"/>
      <c r="C1142" s="12"/>
      <c r="D1142" s="12"/>
      <c r="E1142" s="12"/>
      <c r="I1142" s="14"/>
      <c r="M1142" s="12"/>
      <c r="T1142" s="12"/>
      <c r="U1142" s="12"/>
      <c r="V1142" s="12"/>
      <c r="W1142" s="12"/>
      <c r="X1142" s="12"/>
      <c r="Y1142" s="12"/>
      <c r="Z1142" s="12"/>
      <c r="AA1142" s="12"/>
      <c r="AB1142" s="12"/>
      <c r="AC1142" s="12"/>
      <c r="AD1142" s="12"/>
      <c r="AE1142" s="12"/>
      <c r="AF1142" s="12"/>
      <c r="AG1142" s="12"/>
      <c r="AH1142" s="12"/>
      <c r="AI1142" s="12"/>
    </row>
    <row r="1143" spans="1:35" s="10" customFormat="1" x14ac:dyDescent="0.35">
      <c r="A1143" s="12"/>
      <c r="B1143" s="12"/>
      <c r="C1143" s="12"/>
      <c r="D1143" s="12"/>
      <c r="E1143" s="12"/>
      <c r="I1143" s="14"/>
      <c r="M1143" s="12"/>
      <c r="T1143" s="12"/>
      <c r="U1143" s="12"/>
      <c r="V1143" s="12"/>
      <c r="W1143" s="12"/>
      <c r="X1143" s="12"/>
      <c r="Y1143" s="12"/>
      <c r="Z1143" s="12"/>
      <c r="AA1143" s="12"/>
      <c r="AB1143" s="12"/>
      <c r="AC1143" s="12"/>
      <c r="AD1143" s="12"/>
      <c r="AE1143" s="12"/>
      <c r="AF1143" s="12"/>
      <c r="AG1143" s="12"/>
      <c r="AH1143" s="12"/>
      <c r="AI1143" s="12"/>
    </row>
    <row r="1144" spans="1:35" s="10" customFormat="1" x14ac:dyDescent="0.35">
      <c r="A1144" s="12"/>
      <c r="B1144" s="12"/>
      <c r="C1144" s="12"/>
      <c r="D1144" s="12"/>
      <c r="E1144" s="12"/>
      <c r="I1144" s="14"/>
      <c r="M1144" s="12"/>
      <c r="T1144" s="12"/>
      <c r="U1144" s="12"/>
      <c r="V1144" s="12"/>
      <c r="W1144" s="12"/>
      <c r="X1144" s="12"/>
      <c r="Y1144" s="12"/>
      <c r="Z1144" s="12"/>
      <c r="AA1144" s="12"/>
      <c r="AB1144" s="12"/>
      <c r="AC1144" s="12"/>
      <c r="AD1144" s="12"/>
      <c r="AE1144" s="12"/>
      <c r="AF1144" s="12"/>
      <c r="AG1144" s="12"/>
      <c r="AH1144" s="12"/>
      <c r="AI1144" s="12"/>
    </row>
    <row r="1145" spans="1:35" s="10" customFormat="1" x14ac:dyDescent="0.35">
      <c r="A1145" s="12"/>
      <c r="B1145" s="12"/>
      <c r="C1145" s="12"/>
      <c r="D1145" s="12"/>
      <c r="E1145" s="12"/>
      <c r="I1145" s="14"/>
      <c r="M1145" s="12"/>
      <c r="T1145" s="12"/>
      <c r="U1145" s="12"/>
      <c r="V1145" s="12"/>
      <c r="W1145" s="12"/>
      <c r="X1145" s="12"/>
      <c r="Y1145" s="12"/>
      <c r="Z1145" s="12"/>
      <c r="AA1145" s="12"/>
      <c r="AB1145" s="12"/>
      <c r="AC1145" s="12"/>
      <c r="AD1145" s="12"/>
      <c r="AE1145" s="12"/>
      <c r="AF1145" s="12"/>
      <c r="AG1145" s="12"/>
      <c r="AH1145" s="12"/>
      <c r="AI1145" s="12"/>
    </row>
    <row r="1146" spans="1:35" s="10" customFormat="1" x14ac:dyDescent="0.35">
      <c r="A1146" s="12"/>
      <c r="B1146" s="12"/>
      <c r="C1146" s="12"/>
      <c r="D1146" s="12"/>
      <c r="E1146" s="12"/>
      <c r="I1146" s="14"/>
      <c r="M1146" s="12"/>
      <c r="T1146" s="12"/>
      <c r="U1146" s="12"/>
      <c r="V1146" s="12"/>
      <c r="W1146" s="12"/>
      <c r="X1146" s="12"/>
      <c r="Y1146" s="12"/>
      <c r="Z1146" s="12"/>
      <c r="AA1146" s="12"/>
      <c r="AB1146" s="12"/>
      <c r="AC1146" s="12"/>
      <c r="AD1146" s="12"/>
      <c r="AE1146" s="12"/>
      <c r="AF1146" s="12"/>
      <c r="AG1146" s="12"/>
      <c r="AH1146" s="12"/>
      <c r="AI1146" s="12"/>
    </row>
    <row r="1147" spans="1:35" s="10" customFormat="1" x14ac:dyDescent="0.35">
      <c r="A1147" s="12"/>
      <c r="B1147" s="12"/>
      <c r="C1147" s="12"/>
      <c r="D1147" s="12"/>
      <c r="E1147" s="12"/>
      <c r="I1147" s="14"/>
      <c r="M1147" s="12"/>
      <c r="T1147" s="12"/>
      <c r="U1147" s="12"/>
      <c r="V1147" s="12"/>
      <c r="W1147" s="12"/>
      <c r="X1147" s="12"/>
      <c r="Y1147" s="12"/>
      <c r="Z1147" s="12"/>
      <c r="AA1147" s="12"/>
      <c r="AB1147" s="12"/>
      <c r="AC1147" s="12"/>
      <c r="AD1147" s="12"/>
      <c r="AE1147" s="12"/>
      <c r="AF1147" s="12"/>
      <c r="AG1147" s="12"/>
      <c r="AH1147" s="12"/>
      <c r="AI1147" s="12"/>
    </row>
    <row r="1148" spans="1:35" s="10" customFormat="1" x14ac:dyDescent="0.35">
      <c r="A1148" s="12"/>
      <c r="B1148" s="12"/>
      <c r="C1148" s="12"/>
      <c r="D1148" s="12"/>
      <c r="E1148" s="12"/>
      <c r="I1148" s="14"/>
      <c r="M1148" s="12"/>
      <c r="T1148" s="12"/>
      <c r="U1148" s="12"/>
      <c r="V1148" s="12"/>
      <c r="W1148" s="12"/>
      <c r="X1148" s="12"/>
      <c r="Y1148" s="12"/>
      <c r="Z1148" s="12"/>
      <c r="AA1148" s="12"/>
      <c r="AB1148" s="12"/>
      <c r="AC1148" s="12"/>
      <c r="AD1148" s="12"/>
      <c r="AE1148" s="12"/>
      <c r="AF1148" s="12"/>
      <c r="AG1148" s="12"/>
      <c r="AH1148" s="12"/>
      <c r="AI1148" s="12"/>
    </row>
    <row r="1149" spans="1:35" s="10" customFormat="1" x14ac:dyDescent="0.35">
      <c r="A1149" s="12"/>
      <c r="B1149" s="12"/>
      <c r="C1149" s="12"/>
      <c r="D1149" s="12"/>
      <c r="E1149" s="12"/>
      <c r="I1149" s="14"/>
      <c r="M1149" s="12"/>
      <c r="T1149" s="12"/>
      <c r="U1149" s="12"/>
      <c r="V1149" s="12"/>
      <c r="W1149" s="12"/>
      <c r="X1149" s="12"/>
      <c r="Y1149" s="12"/>
      <c r="Z1149" s="12"/>
      <c r="AA1149" s="12"/>
      <c r="AB1149" s="12"/>
      <c r="AC1149" s="12"/>
      <c r="AD1149" s="12"/>
      <c r="AE1149" s="12"/>
      <c r="AF1149" s="12"/>
      <c r="AG1149" s="12"/>
      <c r="AH1149" s="12"/>
      <c r="AI1149" s="12"/>
    </row>
    <row r="1150" spans="1:35" s="10" customFormat="1" x14ac:dyDescent="0.35">
      <c r="A1150" s="12"/>
      <c r="B1150" s="12"/>
      <c r="C1150" s="12"/>
      <c r="D1150" s="12"/>
      <c r="E1150" s="12"/>
      <c r="I1150" s="14"/>
      <c r="M1150" s="12"/>
      <c r="T1150" s="12"/>
      <c r="U1150" s="12"/>
      <c r="V1150" s="12"/>
      <c r="W1150" s="12"/>
      <c r="X1150" s="12"/>
      <c r="Y1150" s="12"/>
      <c r="Z1150" s="12"/>
      <c r="AA1150" s="12"/>
      <c r="AB1150" s="12"/>
      <c r="AC1150" s="12"/>
      <c r="AD1150" s="12"/>
      <c r="AE1150" s="12"/>
      <c r="AF1150" s="12"/>
      <c r="AG1150" s="12"/>
      <c r="AH1150" s="12"/>
      <c r="AI1150" s="12"/>
    </row>
    <row r="1151" spans="1:35" s="10" customFormat="1" x14ac:dyDescent="0.35">
      <c r="A1151" s="12"/>
      <c r="B1151" s="12"/>
      <c r="C1151" s="12"/>
      <c r="D1151" s="12"/>
      <c r="E1151" s="12"/>
      <c r="I1151" s="14"/>
      <c r="M1151" s="12"/>
      <c r="T1151" s="12"/>
      <c r="U1151" s="12"/>
      <c r="V1151" s="12"/>
      <c r="W1151" s="12"/>
      <c r="X1151" s="12"/>
      <c r="Y1151" s="12"/>
      <c r="Z1151" s="12"/>
      <c r="AA1151" s="12"/>
      <c r="AB1151" s="12"/>
      <c r="AC1151" s="12"/>
      <c r="AD1151" s="12"/>
      <c r="AE1151" s="12"/>
      <c r="AF1151" s="12"/>
      <c r="AG1151" s="12"/>
      <c r="AH1151" s="12"/>
      <c r="AI1151" s="12"/>
    </row>
    <row r="1152" spans="1:35" s="10" customFormat="1" x14ac:dyDescent="0.35">
      <c r="A1152" s="12"/>
      <c r="B1152" s="12"/>
      <c r="C1152" s="12"/>
      <c r="D1152" s="12"/>
      <c r="E1152" s="12"/>
      <c r="I1152" s="14"/>
      <c r="M1152" s="12"/>
      <c r="T1152" s="12"/>
      <c r="U1152" s="12"/>
      <c r="V1152" s="12"/>
      <c r="W1152" s="12"/>
      <c r="X1152" s="12"/>
      <c r="Y1152" s="12"/>
      <c r="Z1152" s="12"/>
      <c r="AA1152" s="12"/>
      <c r="AB1152" s="12"/>
      <c r="AC1152" s="12"/>
      <c r="AD1152" s="12"/>
      <c r="AE1152" s="12"/>
      <c r="AF1152" s="12"/>
      <c r="AG1152" s="12"/>
      <c r="AH1152" s="12"/>
      <c r="AI1152" s="12"/>
    </row>
    <row r="1153" spans="1:35" s="10" customFormat="1" x14ac:dyDescent="0.35">
      <c r="A1153" s="12"/>
      <c r="B1153" s="12"/>
      <c r="C1153" s="12"/>
      <c r="D1153" s="12"/>
      <c r="E1153" s="12"/>
      <c r="I1153" s="14"/>
      <c r="M1153" s="12"/>
      <c r="T1153" s="12"/>
      <c r="U1153" s="12"/>
      <c r="V1153" s="12"/>
      <c r="W1153" s="12"/>
      <c r="X1153" s="12"/>
      <c r="Y1153" s="12"/>
      <c r="Z1153" s="12"/>
      <c r="AA1153" s="12"/>
      <c r="AB1153" s="12"/>
      <c r="AC1153" s="12"/>
      <c r="AD1153" s="12"/>
      <c r="AE1153" s="12"/>
      <c r="AF1153" s="12"/>
      <c r="AG1153" s="12"/>
      <c r="AH1153" s="12"/>
      <c r="AI1153" s="12"/>
    </row>
    <row r="1154" spans="1:35" s="10" customFormat="1" x14ac:dyDescent="0.35">
      <c r="A1154" s="12"/>
      <c r="B1154" s="12"/>
      <c r="C1154" s="12"/>
      <c r="D1154" s="12"/>
      <c r="E1154" s="12"/>
      <c r="I1154" s="14"/>
      <c r="M1154" s="12"/>
      <c r="T1154" s="12"/>
      <c r="U1154" s="12"/>
      <c r="V1154" s="12"/>
      <c r="W1154" s="12"/>
      <c r="X1154" s="12"/>
      <c r="Y1154" s="12"/>
      <c r="Z1154" s="12"/>
      <c r="AA1154" s="12"/>
      <c r="AB1154" s="12"/>
      <c r="AC1154" s="12"/>
      <c r="AD1154" s="12"/>
      <c r="AE1154" s="12"/>
      <c r="AF1154" s="12"/>
      <c r="AG1154" s="12"/>
      <c r="AH1154" s="12"/>
      <c r="AI1154" s="12"/>
    </row>
    <row r="1155" spans="1:35" s="10" customFormat="1" x14ac:dyDescent="0.35">
      <c r="A1155" s="12"/>
      <c r="B1155" s="12"/>
      <c r="C1155" s="12"/>
      <c r="D1155" s="12"/>
      <c r="E1155" s="12"/>
      <c r="I1155" s="14"/>
      <c r="M1155" s="12"/>
      <c r="T1155" s="12"/>
      <c r="U1155" s="12"/>
      <c r="V1155" s="12"/>
      <c r="W1155" s="12"/>
      <c r="X1155" s="12"/>
      <c r="Y1155" s="12"/>
      <c r="Z1155" s="12"/>
      <c r="AA1155" s="12"/>
      <c r="AB1155" s="12"/>
      <c r="AC1155" s="12"/>
      <c r="AD1155" s="12"/>
      <c r="AE1155" s="12"/>
      <c r="AF1155" s="12"/>
      <c r="AG1155" s="12"/>
      <c r="AH1155" s="12"/>
      <c r="AI1155" s="12"/>
    </row>
    <row r="1156" spans="1:35" s="10" customFormat="1" x14ac:dyDescent="0.35">
      <c r="A1156" s="12"/>
      <c r="B1156" s="12"/>
      <c r="C1156" s="12"/>
      <c r="D1156" s="12"/>
      <c r="E1156" s="12"/>
      <c r="I1156" s="14"/>
      <c r="M1156" s="12"/>
      <c r="T1156" s="12"/>
      <c r="U1156" s="12"/>
      <c r="V1156" s="12"/>
      <c r="W1156" s="12"/>
      <c r="X1156" s="12"/>
      <c r="Y1156" s="12"/>
      <c r="Z1156" s="12"/>
      <c r="AA1156" s="12"/>
      <c r="AB1156" s="12"/>
      <c r="AC1156" s="12"/>
      <c r="AD1156" s="12"/>
      <c r="AE1156" s="12"/>
      <c r="AF1156" s="12"/>
      <c r="AG1156" s="12"/>
      <c r="AH1156" s="12"/>
      <c r="AI1156" s="12"/>
    </row>
    <row r="1157" spans="1:35" s="10" customFormat="1" x14ac:dyDescent="0.35">
      <c r="A1157" s="12"/>
      <c r="B1157" s="12"/>
      <c r="C1157" s="12"/>
      <c r="D1157" s="12"/>
      <c r="E1157" s="12"/>
      <c r="I1157" s="14"/>
      <c r="M1157" s="12"/>
      <c r="T1157" s="12"/>
      <c r="U1157" s="12"/>
      <c r="V1157" s="12"/>
      <c r="W1157" s="12"/>
      <c r="X1157" s="12"/>
      <c r="Y1157" s="12"/>
      <c r="Z1157" s="12"/>
      <c r="AA1157" s="12"/>
      <c r="AB1157" s="12"/>
      <c r="AC1157" s="12"/>
      <c r="AD1157" s="12"/>
      <c r="AE1157" s="12"/>
      <c r="AF1157" s="12"/>
      <c r="AG1157" s="12"/>
      <c r="AH1157" s="12"/>
      <c r="AI1157" s="12"/>
    </row>
    <row r="1158" spans="1:35" s="10" customFormat="1" x14ac:dyDescent="0.35">
      <c r="A1158" s="12"/>
      <c r="B1158" s="12"/>
      <c r="C1158" s="12"/>
      <c r="D1158" s="12"/>
      <c r="E1158" s="12"/>
      <c r="I1158" s="14"/>
      <c r="M1158" s="12"/>
      <c r="T1158" s="12"/>
      <c r="U1158" s="12"/>
      <c r="V1158" s="12"/>
      <c r="W1158" s="12"/>
      <c r="X1158" s="12"/>
      <c r="Y1158" s="12"/>
      <c r="Z1158" s="12"/>
      <c r="AA1158" s="12"/>
      <c r="AB1158" s="12"/>
      <c r="AC1158" s="12"/>
      <c r="AD1158" s="12"/>
      <c r="AE1158" s="12"/>
      <c r="AF1158" s="12"/>
      <c r="AG1158" s="12"/>
      <c r="AH1158" s="12"/>
      <c r="AI1158" s="12"/>
    </row>
    <row r="1159" spans="1:35" s="10" customFormat="1" x14ac:dyDescent="0.35">
      <c r="A1159" s="12"/>
      <c r="B1159" s="12"/>
      <c r="C1159" s="12"/>
      <c r="D1159" s="12"/>
      <c r="E1159" s="12"/>
      <c r="I1159" s="14"/>
      <c r="M1159" s="12"/>
      <c r="T1159" s="12"/>
      <c r="U1159" s="12"/>
      <c r="V1159" s="12"/>
      <c r="W1159" s="12"/>
      <c r="X1159" s="12"/>
      <c r="Y1159" s="12"/>
      <c r="Z1159" s="12"/>
      <c r="AA1159" s="12"/>
      <c r="AB1159" s="12"/>
      <c r="AC1159" s="12"/>
      <c r="AD1159" s="12"/>
      <c r="AE1159" s="12"/>
      <c r="AF1159" s="12"/>
      <c r="AG1159" s="12"/>
      <c r="AH1159" s="12"/>
      <c r="AI1159" s="12"/>
    </row>
    <row r="1160" spans="1:35" s="10" customFormat="1" x14ac:dyDescent="0.35">
      <c r="A1160" s="12"/>
      <c r="B1160" s="12"/>
      <c r="C1160" s="12"/>
      <c r="D1160" s="12"/>
      <c r="E1160" s="12"/>
      <c r="I1160" s="14"/>
      <c r="M1160" s="12"/>
      <c r="T1160" s="12"/>
      <c r="U1160" s="12"/>
      <c r="V1160" s="12"/>
      <c r="W1160" s="12"/>
      <c r="X1160" s="12"/>
      <c r="Y1160" s="12"/>
      <c r="Z1160" s="12"/>
      <c r="AA1160" s="12"/>
      <c r="AB1160" s="12"/>
      <c r="AC1160" s="12"/>
      <c r="AD1160" s="12"/>
      <c r="AE1160" s="12"/>
      <c r="AF1160" s="12"/>
      <c r="AG1160" s="12"/>
      <c r="AH1160" s="12"/>
      <c r="AI1160" s="12"/>
    </row>
    <row r="1161" spans="1:35" s="10" customFormat="1" x14ac:dyDescent="0.35">
      <c r="A1161" s="12"/>
      <c r="B1161" s="12"/>
      <c r="C1161" s="12"/>
      <c r="D1161" s="12"/>
      <c r="E1161" s="12"/>
      <c r="I1161" s="14"/>
      <c r="M1161" s="12"/>
      <c r="T1161" s="12"/>
      <c r="U1161" s="12"/>
      <c r="V1161" s="12"/>
      <c r="W1161" s="12"/>
      <c r="X1161" s="12"/>
      <c r="Y1161" s="12"/>
      <c r="Z1161" s="12"/>
      <c r="AA1161" s="12"/>
      <c r="AB1161" s="12"/>
      <c r="AC1161" s="12"/>
      <c r="AD1161" s="12"/>
      <c r="AE1161" s="12"/>
      <c r="AF1161" s="12"/>
      <c r="AG1161" s="12"/>
      <c r="AH1161" s="12"/>
      <c r="AI1161" s="12"/>
    </row>
    <row r="1162" spans="1:35" s="10" customFormat="1" x14ac:dyDescent="0.35">
      <c r="A1162" s="12"/>
      <c r="B1162" s="12"/>
      <c r="C1162" s="12"/>
      <c r="D1162" s="12"/>
      <c r="E1162" s="12"/>
      <c r="I1162" s="14"/>
      <c r="M1162" s="12"/>
      <c r="T1162" s="12"/>
      <c r="U1162" s="12"/>
      <c r="V1162" s="12"/>
      <c r="W1162" s="12"/>
      <c r="X1162" s="12"/>
      <c r="Y1162" s="12"/>
      <c r="Z1162" s="12"/>
      <c r="AA1162" s="12"/>
      <c r="AB1162" s="12"/>
      <c r="AC1162" s="12"/>
      <c r="AD1162" s="12"/>
      <c r="AE1162" s="12"/>
      <c r="AF1162" s="12"/>
      <c r="AG1162" s="12"/>
      <c r="AH1162" s="12"/>
      <c r="AI1162" s="12"/>
    </row>
    <row r="1163" spans="1:35" s="10" customFormat="1" x14ac:dyDescent="0.35">
      <c r="A1163" s="12"/>
      <c r="B1163" s="12"/>
      <c r="C1163" s="12"/>
      <c r="D1163" s="12"/>
      <c r="E1163" s="12"/>
      <c r="I1163" s="14"/>
      <c r="M1163" s="12"/>
      <c r="T1163" s="12"/>
      <c r="U1163" s="12"/>
      <c r="V1163" s="12"/>
      <c r="W1163" s="12"/>
      <c r="X1163" s="12"/>
      <c r="Y1163" s="12"/>
      <c r="Z1163" s="12"/>
      <c r="AA1163" s="12"/>
      <c r="AB1163" s="12"/>
      <c r="AC1163" s="12"/>
      <c r="AD1163" s="12"/>
      <c r="AE1163" s="12"/>
      <c r="AF1163" s="12"/>
      <c r="AG1163" s="12"/>
      <c r="AH1163" s="12"/>
      <c r="AI1163" s="12"/>
    </row>
    <row r="1164" spans="1:35" s="10" customFormat="1" x14ac:dyDescent="0.35">
      <c r="A1164" s="12"/>
      <c r="B1164" s="12"/>
      <c r="C1164" s="12"/>
      <c r="D1164" s="12"/>
      <c r="E1164" s="12"/>
      <c r="I1164" s="14"/>
      <c r="M1164" s="12"/>
      <c r="T1164" s="12"/>
      <c r="U1164" s="12"/>
      <c r="V1164" s="12"/>
      <c r="W1164" s="12"/>
      <c r="X1164" s="12"/>
      <c r="Y1164" s="12"/>
      <c r="Z1164" s="12"/>
      <c r="AA1164" s="12"/>
      <c r="AB1164" s="12"/>
      <c r="AC1164" s="12"/>
      <c r="AD1164" s="12"/>
      <c r="AE1164" s="12"/>
      <c r="AF1164" s="12"/>
      <c r="AG1164" s="12"/>
      <c r="AH1164" s="12"/>
      <c r="AI1164" s="12"/>
    </row>
    <row r="1165" spans="1:35" s="10" customFormat="1" x14ac:dyDescent="0.35">
      <c r="A1165" s="12"/>
      <c r="B1165" s="12"/>
      <c r="C1165" s="12"/>
      <c r="D1165" s="12"/>
      <c r="E1165" s="12"/>
      <c r="I1165" s="14"/>
      <c r="M1165" s="12"/>
      <c r="T1165" s="12"/>
      <c r="U1165" s="12"/>
      <c r="V1165" s="12"/>
      <c r="W1165" s="12"/>
      <c r="X1165" s="12"/>
      <c r="Y1165" s="12"/>
      <c r="Z1165" s="12"/>
      <c r="AA1165" s="12"/>
      <c r="AB1165" s="12"/>
      <c r="AC1165" s="12"/>
      <c r="AD1165" s="12"/>
      <c r="AE1165" s="12"/>
      <c r="AF1165" s="12"/>
      <c r="AG1165" s="12"/>
      <c r="AH1165" s="12"/>
      <c r="AI1165" s="12"/>
    </row>
    <row r="1166" spans="1:35" s="10" customFormat="1" x14ac:dyDescent="0.35">
      <c r="A1166" s="12"/>
      <c r="B1166" s="12"/>
      <c r="C1166" s="12"/>
      <c r="D1166" s="12"/>
      <c r="E1166" s="12"/>
      <c r="I1166" s="14"/>
      <c r="M1166" s="12"/>
      <c r="T1166" s="12"/>
      <c r="U1166" s="12"/>
      <c r="V1166" s="12"/>
      <c r="W1166" s="12"/>
      <c r="X1166" s="12"/>
      <c r="Y1166" s="12"/>
      <c r="Z1166" s="12"/>
      <c r="AA1166" s="12"/>
      <c r="AB1166" s="12"/>
      <c r="AC1166" s="12"/>
      <c r="AD1166" s="12"/>
      <c r="AE1166" s="12"/>
      <c r="AF1166" s="12"/>
      <c r="AG1166" s="12"/>
      <c r="AH1166" s="12"/>
      <c r="AI1166" s="12"/>
    </row>
    <row r="1167" spans="1:35" s="10" customFormat="1" x14ac:dyDescent="0.35">
      <c r="A1167" s="12"/>
      <c r="B1167" s="12"/>
      <c r="C1167" s="12"/>
      <c r="D1167" s="12"/>
      <c r="E1167" s="12"/>
      <c r="I1167" s="14"/>
      <c r="M1167" s="12"/>
      <c r="T1167" s="12"/>
      <c r="U1167" s="12"/>
      <c r="V1167" s="12"/>
      <c r="W1167" s="12"/>
      <c r="X1167" s="12"/>
      <c r="Y1167" s="12"/>
      <c r="Z1167" s="12"/>
      <c r="AA1167" s="12"/>
      <c r="AB1167" s="12"/>
      <c r="AC1167" s="12"/>
      <c r="AD1167" s="12"/>
      <c r="AE1167" s="12"/>
      <c r="AF1167" s="12"/>
      <c r="AG1167" s="12"/>
      <c r="AH1167" s="12"/>
      <c r="AI1167" s="12"/>
    </row>
    <row r="1168" spans="1:35" s="10" customFormat="1" x14ac:dyDescent="0.35">
      <c r="A1168" s="12"/>
      <c r="B1168" s="12"/>
      <c r="C1168" s="12"/>
      <c r="D1168" s="12"/>
      <c r="E1168" s="12"/>
      <c r="I1168" s="14"/>
      <c r="M1168" s="12"/>
      <c r="T1168" s="12"/>
      <c r="U1168" s="12"/>
      <c r="V1168" s="12"/>
      <c r="W1168" s="12"/>
      <c r="X1168" s="12"/>
      <c r="Y1168" s="12"/>
      <c r="Z1168" s="12"/>
      <c r="AA1168" s="12"/>
      <c r="AB1168" s="12"/>
      <c r="AC1168" s="12"/>
      <c r="AD1168" s="12"/>
      <c r="AE1168" s="12"/>
      <c r="AF1168" s="12"/>
      <c r="AG1168" s="12"/>
      <c r="AH1168" s="12"/>
      <c r="AI1168" s="12"/>
    </row>
    <row r="1169" spans="1:35" s="10" customFormat="1" x14ac:dyDescent="0.35">
      <c r="A1169" s="12"/>
      <c r="B1169" s="12"/>
      <c r="C1169" s="12"/>
      <c r="D1169" s="12"/>
      <c r="E1169" s="12"/>
      <c r="I1169" s="14"/>
      <c r="M1169" s="12"/>
      <c r="T1169" s="12"/>
      <c r="U1169" s="12"/>
      <c r="V1169" s="12"/>
      <c r="W1169" s="12"/>
      <c r="X1169" s="12"/>
      <c r="Y1169" s="12"/>
      <c r="Z1169" s="12"/>
      <c r="AA1169" s="12"/>
      <c r="AB1169" s="12"/>
      <c r="AC1169" s="12"/>
      <c r="AD1169" s="12"/>
      <c r="AE1169" s="12"/>
      <c r="AF1169" s="12"/>
      <c r="AG1169" s="12"/>
      <c r="AH1169" s="12"/>
      <c r="AI1169" s="12"/>
    </row>
    <row r="1170" spans="1:35" s="10" customFormat="1" x14ac:dyDescent="0.35">
      <c r="A1170" s="12"/>
      <c r="B1170" s="12"/>
      <c r="C1170" s="12"/>
      <c r="D1170" s="12"/>
      <c r="E1170" s="12"/>
      <c r="I1170" s="14"/>
      <c r="M1170" s="12"/>
      <c r="T1170" s="12"/>
      <c r="U1170" s="12"/>
      <c r="V1170" s="12"/>
      <c r="W1170" s="12"/>
      <c r="X1170" s="12"/>
      <c r="Y1170" s="12"/>
      <c r="Z1170" s="12"/>
      <c r="AA1170" s="12"/>
      <c r="AB1170" s="12"/>
      <c r="AC1170" s="12"/>
      <c r="AD1170" s="12"/>
      <c r="AE1170" s="12"/>
      <c r="AF1170" s="12"/>
      <c r="AG1170" s="12"/>
      <c r="AH1170" s="12"/>
      <c r="AI1170" s="12"/>
    </row>
    <row r="1171" spans="1:35" s="10" customFormat="1" x14ac:dyDescent="0.35">
      <c r="A1171" s="12"/>
      <c r="B1171" s="12"/>
      <c r="C1171" s="12"/>
      <c r="D1171" s="12"/>
      <c r="E1171" s="12"/>
      <c r="I1171" s="14"/>
      <c r="M1171" s="12"/>
      <c r="T1171" s="12"/>
      <c r="U1171" s="12"/>
      <c r="V1171" s="12"/>
      <c r="W1171" s="12"/>
      <c r="X1171" s="12"/>
      <c r="Y1171" s="12"/>
      <c r="Z1171" s="12"/>
      <c r="AA1171" s="12"/>
      <c r="AB1171" s="12"/>
      <c r="AC1171" s="12"/>
      <c r="AD1171" s="12"/>
      <c r="AE1171" s="12"/>
      <c r="AF1171" s="12"/>
      <c r="AG1171" s="12"/>
      <c r="AH1171" s="12"/>
      <c r="AI1171" s="12"/>
    </row>
    <row r="1172" spans="1:35" s="10" customFormat="1" x14ac:dyDescent="0.35">
      <c r="A1172" s="12"/>
      <c r="B1172" s="12"/>
      <c r="C1172" s="12"/>
      <c r="D1172" s="12"/>
      <c r="E1172" s="12"/>
      <c r="I1172" s="14"/>
      <c r="M1172" s="12"/>
      <c r="T1172" s="12"/>
      <c r="U1172" s="12"/>
      <c r="V1172" s="12"/>
      <c r="W1172" s="12"/>
      <c r="X1172" s="12"/>
      <c r="Y1172" s="12"/>
      <c r="Z1172" s="12"/>
      <c r="AA1172" s="12"/>
      <c r="AB1172" s="12"/>
      <c r="AC1172" s="12"/>
      <c r="AD1172" s="12"/>
      <c r="AE1172" s="12"/>
      <c r="AF1172" s="12"/>
      <c r="AG1172" s="12"/>
      <c r="AH1172" s="12"/>
      <c r="AI1172" s="12"/>
    </row>
    <row r="1173" spans="1:35" s="10" customFormat="1" x14ac:dyDescent="0.35">
      <c r="A1173" s="12"/>
      <c r="B1173" s="12"/>
      <c r="C1173" s="12"/>
      <c r="D1173" s="12"/>
      <c r="E1173" s="12"/>
      <c r="I1173" s="14"/>
      <c r="M1173" s="12"/>
      <c r="T1173" s="12"/>
      <c r="U1173" s="12"/>
      <c r="V1173" s="12"/>
      <c r="W1173" s="12"/>
      <c r="X1173" s="12"/>
      <c r="Y1173" s="12"/>
      <c r="Z1173" s="12"/>
      <c r="AA1173" s="12"/>
      <c r="AB1173" s="12"/>
      <c r="AC1173" s="12"/>
      <c r="AD1173" s="12"/>
      <c r="AE1173" s="12"/>
      <c r="AF1173" s="12"/>
      <c r="AG1173" s="12"/>
      <c r="AH1173" s="12"/>
      <c r="AI1173" s="12"/>
    </row>
    <row r="1174" spans="1:35" s="10" customFormat="1" x14ac:dyDescent="0.35">
      <c r="A1174" s="12"/>
      <c r="B1174" s="12"/>
      <c r="C1174" s="12"/>
      <c r="D1174" s="12"/>
      <c r="E1174" s="12"/>
      <c r="I1174" s="14"/>
      <c r="M1174" s="12"/>
      <c r="T1174" s="12"/>
      <c r="U1174" s="12"/>
      <c r="V1174" s="12"/>
      <c r="W1174" s="12"/>
      <c r="X1174" s="12"/>
      <c r="Y1174" s="12"/>
      <c r="Z1174" s="12"/>
      <c r="AA1174" s="12"/>
      <c r="AB1174" s="12"/>
      <c r="AC1174" s="12"/>
      <c r="AD1174" s="12"/>
      <c r="AE1174" s="12"/>
      <c r="AF1174" s="12"/>
      <c r="AG1174" s="12"/>
      <c r="AH1174" s="12"/>
      <c r="AI1174" s="12"/>
    </row>
    <row r="1175" spans="1:35" s="10" customFormat="1" x14ac:dyDescent="0.35">
      <c r="A1175" s="12"/>
      <c r="B1175" s="12"/>
      <c r="C1175" s="12"/>
      <c r="D1175" s="12"/>
      <c r="E1175" s="12"/>
      <c r="I1175" s="14"/>
      <c r="M1175" s="12"/>
      <c r="T1175" s="12"/>
      <c r="U1175" s="12"/>
      <c r="V1175" s="12"/>
      <c r="W1175" s="12"/>
      <c r="X1175" s="12"/>
      <c r="Y1175" s="12"/>
      <c r="Z1175" s="12"/>
      <c r="AA1175" s="12"/>
      <c r="AB1175" s="12"/>
      <c r="AC1175" s="12"/>
      <c r="AD1175" s="12"/>
      <c r="AE1175" s="12"/>
      <c r="AF1175" s="12"/>
      <c r="AG1175" s="12"/>
      <c r="AH1175" s="12"/>
      <c r="AI1175" s="12"/>
    </row>
    <row r="1176" spans="1:35" s="10" customFormat="1" x14ac:dyDescent="0.35">
      <c r="A1176" s="12"/>
      <c r="B1176" s="12"/>
      <c r="C1176" s="12"/>
      <c r="D1176" s="12"/>
      <c r="E1176" s="12"/>
      <c r="I1176" s="14"/>
      <c r="M1176" s="12"/>
      <c r="T1176" s="12"/>
      <c r="U1176" s="12"/>
      <c r="V1176" s="12"/>
      <c r="W1176" s="12"/>
      <c r="X1176" s="12"/>
      <c r="Y1176" s="12"/>
      <c r="Z1176" s="12"/>
      <c r="AA1176" s="12"/>
      <c r="AB1176" s="12"/>
      <c r="AC1176" s="12"/>
      <c r="AD1176" s="12"/>
      <c r="AE1176" s="12"/>
      <c r="AF1176" s="12"/>
      <c r="AG1176" s="12"/>
      <c r="AH1176" s="12"/>
      <c r="AI1176" s="12"/>
    </row>
    <row r="1177" spans="1:35" s="10" customFormat="1" x14ac:dyDescent="0.35">
      <c r="A1177" s="12"/>
      <c r="B1177" s="12"/>
      <c r="C1177" s="12"/>
      <c r="D1177" s="12"/>
      <c r="E1177" s="12"/>
      <c r="I1177" s="14"/>
      <c r="M1177" s="12"/>
      <c r="T1177" s="12"/>
      <c r="U1177" s="12"/>
      <c r="V1177" s="12"/>
      <c r="W1177" s="12"/>
      <c r="X1177" s="12"/>
      <c r="Y1177" s="12"/>
      <c r="Z1177" s="12"/>
      <c r="AA1177" s="12"/>
      <c r="AB1177" s="12"/>
      <c r="AC1177" s="12"/>
      <c r="AD1177" s="12"/>
      <c r="AE1177" s="12"/>
      <c r="AF1177" s="12"/>
      <c r="AG1177" s="12"/>
      <c r="AH1177" s="12"/>
      <c r="AI1177" s="12"/>
    </row>
    <row r="1178" spans="1:35" s="10" customFormat="1" x14ac:dyDescent="0.35">
      <c r="A1178" s="12"/>
      <c r="B1178" s="12"/>
      <c r="C1178" s="12"/>
      <c r="D1178" s="12"/>
      <c r="E1178" s="12"/>
      <c r="I1178" s="14"/>
      <c r="M1178" s="12"/>
      <c r="T1178" s="12"/>
      <c r="U1178" s="12"/>
      <c r="V1178" s="12"/>
      <c r="W1178" s="12"/>
      <c r="X1178" s="12"/>
      <c r="Y1178" s="12"/>
      <c r="Z1178" s="12"/>
      <c r="AA1178" s="12"/>
      <c r="AB1178" s="12"/>
      <c r="AC1178" s="12"/>
      <c r="AD1178" s="12"/>
      <c r="AE1178" s="12"/>
      <c r="AF1178" s="12"/>
      <c r="AG1178" s="12"/>
      <c r="AH1178" s="12"/>
      <c r="AI1178" s="12"/>
    </row>
    <row r="1179" spans="1:35" s="10" customFormat="1" x14ac:dyDescent="0.35">
      <c r="A1179" s="12"/>
      <c r="B1179" s="12"/>
      <c r="C1179" s="12"/>
      <c r="D1179" s="12"/>
      <c r="E1179" s="12"/>
      <c r="I1179" s="14"/>
      <c r="M1179" s="12"/>
      <c r="T1179" s="12"/>
      <c r="U1179" s="12"/>
      <c r="V1179" s="12"/>
      <c r="W1179" s="12"/>
      <c r="X1179" s="12"/>
      <c r="Y1179" s="12"/>
      <c r="Z1179" s="12"/>
      <c r="AA1179" s="12"/>
      <c r="AB1179" s="12"/>
      <c r="AC1179" s="12"/>
      <c r="AD1179" s="12"/>
      <c r="AE1179" s="12"/>
      <c r="AF1179" s="12"/>
      <c r="AG1179" s="12"/>
      <c r="AH1179" s="12"/>
      <c r="AI1179" s="12"/>
    </row>
    <row r="1180" spans="1:35" s="10" customFormat="1" x14ac:dyDescent="0.35">
      <c r="A1180" s="12"/>
      <c r="B1180" s="12"/>
      <c r="C1180" s="12"/>
      <c r="D1180" s="12"/>
      <c r="E1180" s="12"/>
      <c r="I1180" s="14"/>
      <c r="M1180" s="12"/>
      <c r="T1180" s="12"/>
      <c r="U1180" s="12"/>
      <c r="V1180" s="12"/>
      <c r="W1180" s="12"/>
      <c r="X1180" s="12"/>
      <c r="Y1180" s="12"/>
      <c r="Z1180" s="12"/>
      <c r="AA1180" s="12"/>
      <c r="AB1180" s="12"/>
      <c r="AC1180" s="12"/>
      <c r="AD1180" s="12"/>
      <c r="AE1180" s="12"/>
      <c r="AF1180" s="12"/>
      <c r="AG1180" s="12"/>
      <c r="AH1180" s="12"/>
      <c r="AI1180" s="12"/>
    </row>
    <row r="1181" spans="1:35" s="10" customFormat="1" x14ac:dyDescent="0.35">
      <c r="A1181" s="12"/>
      <c r="B1181" s="12"/>
      <c r="C1181" s="12"/>
      <c r="D1181" s="12"/>
      <c r="E1181" s="12"/>
      <c r="I1181" s="14"/>
      <c r="M1181" s="12"/>
      <c r="T1181" s="12"/>
      <c r="U1181" s="12"/>
      <c r="V1181" s="12"/>
      <c r="W1181" s="12"/>
      <c r="X1181" s="12"/>
      <c r="Y1181" s="12"/>
      <c r="Z1181" s="12"/>
      <c r="AA1181" s="12"/>
      <c r="AB1181" s="12"/>
      <c r="AC1181" s="12"/>
      <c r="AD1181" s="12"/>
      <c r="AE1181" s="12"/>
      <c r="AF1181" s="12"/>
      <c r="AG1181" s="12"/>
      <c r="AH1181" s="12"/>
      <c r="AI1181" s="12"/>
    </row>
    <row r="1182" spans="1:35" s="10" customFormat="1" x14ac:dyDescent="0.35">
      <c r="A1182" s="12"/>
      <c r="B1182" s="12"/>
      <c r="C1182" s="12"/>
      <c r="D1182" s="12"/>
      <c r="E1182" s="12"/>
      <c r="I1182" s="14"/>
      <c r="M1182" s="12"/>
      <c r="T1182" s="12"/>
      <c r="U1182" s="12"/>
      <c r="V1182" s="12"/>
      <c r="W1182" s="12"/>
      <c r="X1182" s="12"/>
      <c r="Y1182" s="12"/>
      <c r="Z1182" s="12"/>
      <c r="AA1182" s="12"/>
      <c r="AB1182" s="12"/>
      <c r="AC1182" s="12"/>
      <c r="AD1182" s="12"/>
      <c r="AE1182" s="12"/>
      <c r="AF1182" s="12"/>
      <c r="AG1182" s="12"/>
      <c r="AH1182" s="12"/>
      <c r="AI1182" s="12"/>
    </row>
    <row r="1183" spans="1:35" s="10" customFormat="1" x14ac:dyDescent="0.35">
      <c r="A1183" s="12"/>
      <c r="B1183" s="12"/>
      <c r="C1183" s="12"/>
      <c r="D1183" s="12"/>
      <c r="E1183" s="12"/>
      <c r="I1183" s="14"/>
      <c r="M1183" s="12"/>
      <c r="T1183" s="12"/>
      <c r="U1183" s="12"/>
      <c r="V1183" s="12"/>
      <c r="W1183" s="12"/>
      <c r="X1183" s="12"/>
      <c r="Y1183" s="12"/>
      <c r="Z1183" s="12"/>
      <c r="AA1183" s="12"/>
      <c r="AB1183" s="12"/>
      <c r="AC1183" s="12"/>
      <c r="AD1183" s="12"/>
      <c r="AE1183" s="12"/>
      <c r="AF1183" s="12"/>
      <c r="AG1183" s="12"/>
      <c r="AH1183" s="12"/>
      <c r="AI1183" s="12"/>
    </row>
    <row r="1184" spans="1:35" s="10" customFormat="1" x14ac:dyDescent="0.35">
      <c r="A1184" s="12"/>
      <c r="B1184" s="12"/>
      <c r="C1184" s="12"/>
      <c r="D1184" s="12"/>
      <c r="E1184" s="12"/>
      <c r="I1184" s="14"/>
      <c r="M1184" s="12"/>
      <c r="T1184" s="12"/>
      <c r="U1184" s="12"/>
      <c r="V1184" s="12"/>
      <c r="W1184" s="12"/>
      <c r="X1184" s="12"/>
      <c r="Y1184" s="12"/>
      <c r="Z1184" s="12"/>
      <c r="AA1184" s="12"/>
      <c r="AB1184" s="12"/>
      <c r="AC1184" s="12"/>
      <c r="AD1184" s="12"/>
      <c r="AE1184" s="12"/>
      <c r="AF1184" s="12"/>
      <c r="AG1184" s="12"/>
      <c r="AH1184" s="12"/>
      <c r="AI1184" s="12"/>
    </row>
    <row r="1185" spans="1:35" s="10" customFormat="1" x14ac:dyDescent="0.35">
      <c r="A1185" s="12"/>
      <c r="B1185" s="12"/>
      <c r="C1185" s="12"/>
      <c r="D1185" s="12"/>
      <c r="E1185" s="12"/>
      <c r="I1185" s="14"/>
      <c r="M1185" s="12"/>
      <c r="T1185" s="12"/>
      <c r="U1185" s="12"/>
      <c r="V1185" s="12"/>
      <c r="W1185" s="12"/>
      <c r="X1185" s="12"/>
      <c r="Y1185" s="12"/>
      <c r="Z1185" s="12"/>
      <c r="AA1185" s="12"/>
      <c r="AB1185" s="12"/>
      <c r="AC1185" s="12"/>
      <c r="AD1185" s="12"/>
      <c r="AE1185" s="12"/>
      <c r="AF1185" s="12"/>
      <c r="AG1185" s="12"/>
      <c r="AH1185" s="12"/>
      <c r="AI1185" s="12"/>
    </row>
    <row r="1186" spans="1:35" s="10" customFormat="1" x14ac:dyDescent="0.35">
      <c r="A1186" s="12"/>
      <c r="B1186" s="12"/>
      <c r="C1186" s="12"/>
      <c r="D1186" s="12"/>
      <c r="E1186" s="12"/>
      <c r="I1186" s="14"/>
      <c r="M1186" s="12"/>
      <c r="T1186" s="12"/>
      <c r="U1186" s="12"/>
      <c r="V1186" s="12"/>
      <c r="W1186" s="12"/>
      <c r="X1186" s="12"/>
      <c r="Y1186" s="12"/>
      <c r="Z1186" s="12"/>
      <c r="AA1186" s="12"/>
      <c r="AB1186" s="12"/>
      <c r="AC1186" s="12"/>
      <c r="AD1186" s="12"/>
      <c r="AE1186" s="12"/>
      <c r="AF1186" s="12"/>
      <c r="AG1186" s="12"/>
      <c r="AH1186" s="12"/>
      <c r="AI1186" s="12"/>
    </row>
    <row r="1187" spans="1:35" s="10" customFormat="1" x14ac:dyDescent="0.35">
      <c r="A1187" s="12"/>
      <c r="B1187" s="12"/>
      <c r="C1187" s="12"/>
      <c r="D1187" s="12"/>
      <c r="E1187" s="12"/>
      <c r="I1187" s="14"/>
      <c r="M1187" s="12"/>
      <c r="T1187" s="12"/>
      <c r="U1187" s="12"/>
      <c r="V1187" s="12"/>
      <c r="W1187" s="12"/>
      <c r="X1187" s="12"/>
      <c r="Y1187" s="12"/>
      <c r="Z1187" s="12"/>
      <c r="AA1187" s="12"/>
      <c r="AB1187" s="12"/>
      <c r="AC1187" s="12"/>
      <c r="AD1187" s="12"/>
      <c r="AE1187" s="12"/>
      <c r="AF1187" s="12"/>
      <c r="AG1187" s="12"/>
      <c r="AH1187" s="12"/>
      <c r="AI1187" s="12"/>
    </row>
    <row r="1188" spans="1:35" s="10" customFormat="1" x14ac:dyDescent="0.35">
      <c r="A1188" s="12"/>
      <c r="B1188" s="12"/>
      <c r="C1188" s="12"/>
      <c r="D1188" s="12"/>
      <c r="E1188" s="12"/>
      <c r="I1188" s="14"/>
      <c r="M1188" s="12"/>
      <c r="T1188" s="12"/>
      <c r="U1188" s="12"/>
      <c r="V1188" s="12"/>
      <c r="W1188" s="12"/>
      <c r="X1188" s="12"/>
      <c r="Y1188" s="12"/>
      <c r="Z1188" s="12"/>
      <c r="AA1188" s="12"/>
      <c r="AB1188" s="12"/>
      <c r="AC1188" s="12"/>
      <c r="AD1188" s="12"/>
      <c r="AE1188" s="12"/>
      <c r="AF1188" s="12"/>
      <c r="AG1188" s="12"/>
      <c r="AH1188" s="12"/>
      <c r="AI1188" s="12"/>
    </row>
    <row r="1189" spans="1:35" s="10" customFormat="1" x14ac:dyDescent="0.35">
      <c r="A1189" s="12"/>
      <c r="B1189" s="12"/>
      <c r="C1189" s="12"/>
      <c r="D1189" s="12"/>
      <c r="E1189" s="12"/>
      <c r="I1189" s="14"/>
      <c r="M1189" s="12"/>
      <c r="T1189" s="12"/>
      <c r="U1189" s="12"/>
      <c r="V1189" s="12"/>
      <c r="W1189" s="12"/>
      <c r="X1189" s="12"/>
      <c r="Y1189" s="12"/>
      <c r="Z1189" s="12"/>
      <c r="AA1189" s="12"/>
      <c r="AB1189" s="12"/>
      <c r="AC1189" s="12"/>
      <c r="AD1189" s="12"/>
      <c r="AE1189" s="12"/>
      <c r="AF1189" s="12"/>
      <c r="AG1189" s="12"/>
      <c r="AH1189" s="12"/>
      <c r="AI1189" s="12"/>
    </row>
    <row r="1190" spans="1:35" s="10" customFormat="1" x14ac:dyDescent="0.35">
      <c r="A1190" s="12"/>
      <c r="B1190" s="12"/>
      <c r="C1190" s="12"/>
      <c r="D1190" s="12"/>
      <c r="E1190" s="12"/>
      <c r="I1190" s="14"/>
      <c r="M1190" s="12"/>
      <c r="T1190" s="12"/>
      <c r="U1190" s="12"/>
      <c r="V1190" s="12"/>
      <c r="W1190" s="12"/>
      <c r="X1190" s="12"/>
      <c r="Y1190" s="12"/>
      <c r="Z1190" s="12"/>
      <c r="AA1190" s="12"/>
      <c r="AB1190" s="12"/>
      <c r="AC1190" s="12"/>
      <c r="AD1190" s="12"/>
      <c r="AE1190" s="12"/>
      <c r="AF1190" s="12"/>
      <c r="AG1190" s="12"/>
      <c r="AH1190" s="12"/>
      <c r="AI1190" s="12"/>
    </row>
    <row r="1191" spans="1:35" s="10" customFormat="1" x14ac:dyDescent="0.35">
      <c r="A1191" s="12"/>
      <c r="B1191" s="12"/>
      <c r="C1191" s="12"/>
      <c r="D1191" s="12"/>
      <c r="E1191" s="12"/>
      <c r="I1191" s="14"/>
      <c r="M1191" s="12"/>
      <c r="T1191" s="12"/>
      <c r="U1191" s="12"/>
      <c r="V1191" s="12"/>
      <c r="W1191" s="12"/>
      <c r="X1191" s="12"/>
      <c r="Y1191" s="12"/>
      <c r="Z1191" s="12"/>
      <c r="AA1191" s="12"/>
      <c r="AB1191" s="12"/>
      <c r="AC1191" s="12"/>
      <c r="AD1191" s="12"/>
      <c r="AE1191" s="12"/>
      <c r="AF1191" s="12"/>
      <c r="AG1191" s="12"/>
      <c r="AH1191" s="12"/>
      <c r="AI1191" s="12"/>
    </row>
    <row r="1192" spans="1:35" s="10" customFormat="1" x14ac:dyDescent="0.35">
      <c r="A1192" s="12"/>
      <c r="B1192" s="12"/>
      <c r="C1192" s="12"/>
      <c r="D1192" s="12"/>
      <c r="E1192" s="12"/>
      <c r="I1192" s="14"/>
      <c r="M1192" s="12"/>
      <c r="T1192" s="12"/>
      <c r="U1192" s="12"/>
      <c r="V1192" s="12"/>
      <c r="W1192" s="12"/>
      <c r="X1192" s="12"/>
      <c r="Y1192" s="12"/>
      <c r="Z1192" s="12"/>
      <c r="AA1192" s="12"/>
      <c r="AB1192" s="12"/>
      <c r="AC1192" s="12"/>
      <c r="AD1192" s="12"/>
      <c r="AE1192" s="12"/>
      <c r="AF1192" s="12"/>
      <c r="AG1192" s="12"/>
      <c r="AH1192" s="12"/>
      <c r="AI1192" s="12"/>
    </row>
    <row r="1193" spans="1:35" s="10" customFormat="1" x14ac:dyDescent="0.35">
      <c r="A1193" s="12"/>
      <c r="B1193" s="12"/>
      <c r="C1193" s="12"/>
      <c r="D1193" s="12"/>
      <c r="E1193" s="12"/>
      <c r="I1193" s="14"/>
      <c r="M1193" s="12"/>
      <c r="T1193" s="12"/>
      <c r="U1193" s="12"/>
      <c r="V1193" s="12"/>
      <c r="W1193" s="12"/>
      <c r="X1193" s="12"/>
      <c r="Y1193" s="12"/>
      <c r="Z1193" s="12"/>
      <c r="AA1193" s="12"/>
      <c r="AB1193" s="12"/>
      <c r="AC1193" s="12"/>
      <c r="AD1193" s="12"/>
      <c r="AE1193" s="12"/>
      <c r="AF1193" s="12"/>
      <c r="AG1193" s="12"/>
      <c r="AH1193" s="12"/>
      <c r="AI1193" s="12"/>
    </row>
    <row r="1194" spans="1:35" s="10" customFormat="1" x14ac:dyDescent="0.35">
      <c r="A1194" s="12"/>
      <c r="B1194" s="12"/>
      <c r="C1194" s="12"/>
      <c r="D1194" s="12"/>
      <c r="E1194" s="12"/>
      <c r="I1194" s="14"/>
      <c r="M1194" s="12"/>
      <c r="T1194" s="12"/>
      <c r="U1194" s="12"/>
      <c r="V1194" s="12"/>
      <c r="W1194" s="12"/>
      <c r="X1194" s="12"/>
      <c r="Y1194" s="12"/>
      <c r="Z1194" s="12"/>
      <c r="AA1194" s="12"/>
      <c r="AB1194" s="12"/>
      <c r="AC1194" s="12"/>
      <c r="AD1194" s="12"/>
      <c r="AE1194" s="12"/>
      <c r="AF1194" s="12"/>
      <c r="AG1194" s="12"/>
      <c r="AH1194" s="12"/>
      <c r="AI1194" s="12"/>
    </row>
    <row r="1195" spans="1:35" s="10" customFormat="1" x14ac:dyDescent="0.35">
      <c r="A1195" s="12"/>
      <c r="B1195" s="12"/>
      <c r="C1195" s="12"/>
      <c r="D1195" s="12"/>
      <c r="E1195" s="12"/>
      <c r="I1195" s="14"/>
      <c r="M1195" s="12"/>
      <c r="T1195" s="12"/>
      <c r="U1195" s="12"/>
      <c r="V1195" s="12"/>
      <c r="W1195" s="12"/>
      <c r="X1195" s="12"/>
      <c r="Y1195" s="12"/>
      <c r="Z1195" s="12"/>
      <c r="AA1195" s="12"/>
      <c r="AB1195" s="12"/>
      <c r="AC1195" s="12"/>
      <c r="AD1195" s="12"/>
      <c r="AE1195" s="12"/>
      <c r="AF1195" s="12"/>
      <c r="AG1195" s="12"/>
      <c r="AH1195" s="12"/>
      <c r="AI1195" s="12"/>
    </row>
    <row r="1196" spans="1:35" s="10" customFormat="1" x14ac:dyDescent="0.35">
      <c r="A1196" s="12"/>
      <c r="B1196" s="12"/>
      <c r="C1196" s="12"/>
      <c r="D1196" s="12"/>
      <c r="E1196" s="12"/>
      <c r="I1196" s="14"/>
      <c r="M1196" s="12"/>
      <c r="T1196" s="12"/>
      <c r="U1196" s="12"/>
      <c r="V1196" s="12"/>
      <c r="W1196" s="12"/>
      <c r="X1196" s="12"/>
      <c r="Y1196" s="12"/>
      <c r="Z1196" s="12"/>
      <c r="AA1196" s="12"/>
      <c r="AB1196" s="12"/>
      <c r="AC1196" s="12"/>
      <c r="AD1196" s="12"/>
      <c r="AE1196" s="12"/>
      <c r="AF1196" s="12"/>
      <c r="AG1196" s="12"/>
      <c r="AH1196" s="12"/>
      <c r="AI1196" s="12"/>
    </row>
    <row r="1197" spans="1:35" s="10" customFormat="1" x14ac:dyDescent="0.35">
      <c r="A1197" s="12"/>
      <c r="B1197" s="12"/>
      <c r="C1197" s="12"/>
      <c r="D1197" s="12"/>
      <c r="E1197" s="12"/>
      <c r="I1197" s="14"/>
      <c r="M1197" s="12"/>
      <c r="T1197" s="12"/>
      <c r="U1197" s="12"/>
      <c r="V1197" s="12"/>
      <c r="W1197" s="12"/>
      <c r="X1197" s="12"/>
      <c r="Y1197" s="12"/>
      <c r="Z1197" s="12"/>
      <c r="AA1197" s="12"/>
      <c r="AB1197" s="12"/>
      <c r="AC1197" s="12"/>
      <c r="AD1197" s="12"/>
      <c r="AE1197" s="12"/>
      <c r="AF1197" s="12"/>
      <c r="AG1197" s="12"/>
      <c r="AH1197" s="12"/>
      <c r="AI1197" s="12"/>
    </row>
    <row r="1198" spans="1:35" s="10" customFormat="1" x14ac:dyDescent="0.35">
      <c r="A1198" s="12"/>
      <c r="B1198" s="12"/>
      <c r="C1198" s="12"/>
      <c r="D1198" s="12"/>
      <c r="E1198" s="12"/>
      <c r="I1198" s="14"/>
      <c r="M1198" s="12"/>
      <c r="T1198" s="12"/>
      <c r="U1198" s="12"/>
      <c r="V1198" s="12"/>
      <c r="W1198" s="12"/>
      <c r="X1198" s="12"/>
      <c r="Y1198" s="12"/>
      <c r="Z1198" s="12"/>
      <c r="AA1198" s="12"/>
      <c r="AB1198" s="12"/>
      <c r="AC1198" s="12"/>
      <c r="AD1198" s="12"/>
      <c r="AE1198" s="12"/>
      <c r="AF1198" s="12"/>
      <c r="AG1198" s="12"/>
      <c r="AH1198" s="12"/>
      <c r="AI1198" s="12"/>
    </row>
    <row r="1199" spans="1:35" s="10" customFormat="1" x14ac:dyDescent="0.35">
      <c r="A1199" s="12"/>
      <c r="B1199" s="12"/>
      <c r="C1199" s="12"/>
      <c r="D1199" s="12"/>
      <c r="E1199" s="12"/>
      <c r="I1199" s="14"/>
      <c r="M1199" s="12"/>
      <c r="T1199" s="12"/>
      <c r="U1199" s="12"/>
      <c r="V1199" s="12"/>
      <c r="W1199" s="12"/>
      <c r="X1199" s="12"/>
      <c r="Y1199" s="12"/>
      <c r="Z1199" s="12"/>
      <c r="AA1199" s="12"/>
      <c r="AB1199" s="12"/>
      <c r="AC1199" s="12"/>
      <c r="AD1199" s="12"/>
      <c r="AE1199" s="12"/>
      <c r="AF1199" s="12"/>
      <c r="AG1199" s="12"/>
      <c r="AH1199" s="12"/>
      <c r="AI1199" s="12"/>
    </row>
    <row r="1200" spans="1:35" s="10" customFormat="1" x14ac:dyDescent="0.35">
      <c r="A1200" s="12"/>
      <c r="B1200" s="12"/>
      <c r="C1200" s="12"/>
      <c r="D1200" s="12"/>
      <c r="E1200" s="12"/>
      <c r="I1200" s="14"/>
      <c r="M1200" s="12"/>
      <c r="T1200" s="12"/>
      <c r="U1200" s="12"/>
      <c r="V1200" s="12"/>
      <c r="W1200" s="12"/>
      <c r="X1200" s="12"/>
      <c r="Y1200" s="12"/>
      <c r="Z1200" s="12"/>
      <c r="AA1200" s="12"/>
      <c r="AB1200" s="12"/>
      <c r="AC1200" s="12"/>
      <c r="AD1200" s="12"/>
      <c r="AE1200" s="12"/>
      <c r="AF1200" s="12"/>
      <c r="AG1200" s="12"/>
      <c r="AH1200" s="12"/>
      <c r="AI1200" s="12"/>
    </row>
    <row r="1201" spans="1:35" s="10" customFormat="1" x14ac:dyDescent="0.35">
      <c r="A1201" s="12"/>
      <c r="B1201" s="12"/>
      <c r="C1201" s="12"/>
      <c r="D1201" s="12"/>
      <c r="E1201" s="12"/>
      <c r="I1201" s="14"/>
      <c r="M1201" s="12"/>
      <c r="T1201" s="12"/>
      <c r="U1201" s="12"/>
      <c r="V1201" s="12"/>
      <c r="W1201" s="12"/>
      <c r="X1201" s="12"/>
      <c r="Y1201" s="12"/>
      <c r="Z1201" s="12"/>
      <c r="AA1201" s="12"/>
      <c r="AB1201" s="12"/>
      <c r="AC1201" s="12"/>
      <c r="AD1201" s="12"/>
      <c r="AE1201" s="12"/>
      <c r="AF1201" s="12"/>
      <c r="AG1201" s="12"/>
      <c r="AH1201" s="12"/>
      <c r="AI1201" s="12"/>
    </row>
    <row r="1202" spans="1:35" s="10" customFormat="1" x14ac:dyDescent="0.35">
      <c r="A1202" s="12"/>
      <c r="B1202" s="12"/>
      <c r="C1202" s="12"/>
      <c r="D1202" s="12"/>
      <c r="E1202" s="12"/>
      <c r="I1202" s="14"/>
      <c r="M1202" s="12"/>
      <c r="T1202" s="12"/>
      <c r="U1202" s="12"/>
      <c r="V1202" s="12"/>
      <c r="W1202" s="12"/>
      <c r="X1202" s="12"/>
      <c r="Y1202" s="12"/>
      <c r="Z1202" s="12"/>
      <c r="AA1202" s="12"/>
      <c r="AB1202" s="12"/>
      <c r="AC1202" s="12"/>
      <c r="AD1202" s="12"/>
      <c r="AE1202" s="12"/>
      <c r="AF1202" s="12"/>
      <c r="AG1202" s="12"/>
      <c r="AH1202" s="12"/>
      <c r="AI1202" s="12"/>
    </row>
    <row r="1203" spans="1:35" s="10" customFormat="1" x14ac:dyDescent="0.35">
      <c r="A1203" s="12"/>
      <c r="B1203" s="12"/>
      <c r="C1203" s="12"/>
      <c r="D1203" s="12"/>
      <c r="E1203" s="12"/>
      <c r="I1203" s="14"/>
      <c r="M1203" s="12"/>
      <c r="T1203" s="12"/>
      <c r="U1203" s="12"/>
      <c r="V1203" s="12"/>
      <c r="W1203" s="12"/>
      <c r="X1203" s="12"/>
      <c r="Y1203" s="12"/>
      <c r="Z1203" s="12"/>
      <c r="AA1203" s="12"/>
      <c r="AB1203" s="12"/>
      <c r="AC1203" s="12"/>
      <c r="AD1203" s="12"/>
      <c r="AE1203" s="12"/>
      <c r="AF1203" s="12"/>
      <c r="AG1203" s="12"/>
      <c r="AH1203" s="12"/>
      <c r="AI1203" s="12"/>
    </row>
    <row r="1204" spans="1:35" s="10" customFormat="1" x14ac:dyDescent="0.35">
      <c r="A1204" s="12"/>
      <c r="B1204" s="12"/>
      <c r="C1204" s="12"/>
      <c r="D1204" s="12"/>
      <c r="E1204" s="12"/>
      <c r="I1204" s="14"/>
      <c r="M1204" s="12"/>
      <c r="T1204" s="12"/>
      <c r="U1204" s="12"/>
      <c r="V1204" s="12"/>
      <c r="W1204" s="12"/>
      <c r="X1204" s="12"/>
      <c r="Y1204" s="12"/>
      <c r="Z1204" s="12"/>
      <c r="AA1204" s="12"/>
      <c r="AB1204" s="12"/>
      <c r="AC1204" s="12"/>
      <c r="AD1204" s="12"/>
      <c r="AE1204" s="12"/>
      <c r="AF1204" s="12"/>
      <c r="AG1204" s="12"/>
      <c r="AH1204" s="12"/>
      <c r="AI1204" s="12"/>
    </row>
    <row r="1205" spans="1:35" s="10" customFormat="1" x14ac:dyDescent="0.35">
      <c r="A1205" s="12"/>
      <c r="B1205" s="12"/>
      <c r="C1205" s="12"/>
      <c r="D1205" s="12"/>
      <c r="E1205" s="12"/>
      <c r="I1205" s="14"/>
      <c r="M1205" s="12"/>
      <c r="T1205" s="12"/>
      <c r="U1205" s="12"/>
      <c r="V1205" s="12"/>
      <c r="W1205" s="12"/>
      <c r="X1205" s="12"/>
      <c r="Y1205" s="12"/>
      <c r="Z1205" s="12"/>
      <c r="AA1205" s="12"/>
      <c r="AB1205" s="12"/>
      <c r="AC1205" s="12"/>
      <c r="AD1205" s="12"/>
      <c r="AE1205" s="12"/>
      <c r="AF1205" s="12"/>
      <c r="AG1205" s="12"/>
      <c r="AH1205" s="12"/>
      <c r="AI1205" s="12"/>
    </row>
    <row r="1206" spans="1:35" s="10" customFormat="1" x14ac:dyDescent="0.35">
      <c r="A1206" s="12"/>
      <c r="B1206" s="12"/>
      <c r="C1206" s="12"/>
      <c r="D1206" s="12"/>
      <c r="E1206" s="12"/>
      <c r="I1206" s="14"/>
      <c r="M1206" s="12"/>
      <c r="T1206" s="12"/>
      <c r="U1206" s="12"/>
      <c r="V1206" s="12"/>
      <c r="W1206" s="12"/>
      <c r="X1206" s="12"/>
      <c r="Y1206" s="12"/>
      <c r="Z1206" s="12"/>
      <c r="AA1206" s="12"/>
      <c r="AB1206" s="12"/>
      <c r="AC1206" s="12"/>
      <c r="AD1206" s="12"/>
      <c r="AE1206" s="12"/>
      <c r="AF1206" s="12"/>
      <c r="AG1206" s="12"/>
      <c r="AH1206" s="12"/>
      <c r="AI1206" s="12"/>
    </row>
    <row r="1207" spans="1:35" s="10" customFormat="1" x14ac:dyDescent="0.35">
      <c r="A1207" s="12"/>
      <c r="B1207" s="12"/>
      <c r="C1207" s="12"/>
      <c r="D1207" s="12"/>
      <c r="E1207" s="12"/>
      <c r="I1207" s="14"/>
      <c r="M1207" s="12"/>
      <c r="T1207" s="12"/>
      <c r="U1207" s="12"/>
      <c r="V1207" s="12"/>
      <c r="W1207" s="12"/>
      <c r="X1207" s="12"/>
      <c r="Y1207" s="12"/>
      <c r="Z1207" s="12"/>
      <c r="AA1207" s="12"/>
      <c r="AB1207" s="12"/>
      <c r="AC1207" s="12"/>
      <c r="AD1207" s="12"/>
      <c r="AE1207" s="12"/>
      <c r="AF1207" s="12"/>
      <c r="AG1207" s="12"/>
      <c r="AH1207" s="12"/>
      <c r="AI1207" s="12"/>
    </row>
    <row r="1208" spans="1:35" s="10" customFormat="1" x14ac:dyDescent="0.35">
      <c r="A1208" s="12"/>
      <c r="B1208" s="12"/>
      <c r="C1208" s="12"/>
      <c r="D1208" s="12"/>
      <c r="E1208" s="12"/>
      <c r="I1208" s="14"/>
      <c r="M1208" s="12"/>
      <c r="T1208" s="12"/>
      <c r="U1208" s="12"/>
      <c r="V1208" s="12"/>
      <c r="W1208" s="12"/>
      <c r="X1208" s="12"/>
      <c r="Y1208" s="12"/>
      <c r="Z1208" s="12"/>
      <c r="AA1208" s="12"/>
      <c r="AB1208" s="12"/>
      <c r="AC1208" s="12"/>
      <c r="AD1208" s="12"/>
      <c r="AE1208" s="12"/>
      <c r="AF1208" s="12"/>
      <c r="AG1208" s="12"/>
      <c r="AH1208" s="12"/>
      <c r="AI1208" s="12"/>
    </row>
    <row r="1209" spans="1:35" s="10" customFormat="1" x14ac:dyDescent="0.35">
      <c r="A1209" s="12"/>
      <c r="B1209" s="12"/>
      <c r="C1209" s="12"/>
      <c r="D1209" s="12"/>
      <c r="E1209" s="12"/>
      <c r="I1209" s="14"/>
      <c r="M1209" s="12"/>
      <c r="T1209" s="12"/>
      <c r="U1209" s="12"/>
      <c r="V1209" s="12"/>
      <c r="W1209" s="12"/>
      <c r="X1209" s="12"/>
      <c r="Y1209" s="12"/>
      <c r="Z1209" s="12"/>
      <c r="AA1209" s="12"/>
      <c r="AB1209" s="12"/>
      <c r="AC1209" s="12"/>
      <c r="AD1209" s="12"/>
      <c r="AE1209" s="12"/>
      <c r="AF1209" s="12"/>
      <c r="AG1209" s="12"/>
      <c r="AH1209" s="12"/>
      <c r="AI1209" s="12"/>
    </row>
    <row r="1210" spans="1:35" s="10" customFormat="1" x14ac:dyDescent="0.35">
      <c r="A1210" s="12"/>
      <c r="B1210" s="12"/>
      <c r="C1210" s="12"/>
      <c r="D1210" s="12"/>
      <c r="E1210" s="12"/>
      <c r="I1210" s="14"/>
      <c r="M1210" s="12"/>
      <c r="T1210" s="12"/>
      <c r="U1210" s="12"/>
      <c r="V1210" s="12"/>
      <c r="W1210" s="12"/>
      <c r="X1210" s="12"/>
      <c r="Y1210" s="12"/>
      <c r="Z1210" s="12"/>
      <c r="AA1210" s="12"/>
      <c r="AB1210" s="12"/>
      <c r="AC1210" s="12"/>
      <c r="AD1210" s="12"/>
      <c r="AE1210" s="12"/>
      <c r="AF1210" s="12"/>
      <c r="AG1210" s="12"/>
      <c r="AH1210" s="12"/>
      <c r="AI1210" s="12"/>
    </row>
    <row r="1211" spans="1:35" s="10" customFormat="1" x14ac:dyDescent="0.35">
      <c r="A1211" s="12"/>
      <c r="B1211" s="12"/>
      <c r="C1211" s="12"/>
      <c r="D1211" s="12"/>
      <c r="E1211" s="12"/>
      <c r="I1211" s="14"/>
      <c r="M1211" s="12"/>
      <c r="T1211" s="12"/>
      <c r="U1211" s="12"/>
      <c r="V1211" s="12"/>
      <c r="W1211" s="12"/>
      <c r="X1211" s="12"/>
      <c r="Y1211" s="12"/>
      <c r="Z1211" s="12"/>
      <c r="AA1211" s="12"/>
      <c r="AB1211" s="12"/>
      <c r="AC1211" s="12"/>
      <c r="AD1211" s="12"/>
      <c r="AE1211" s="12"/>
      <c r="AF1211" s="12"/>
      <c r="AG1211" s="12"/>
      <c r="AH1211" s="12"/>
      <c r="AI1211" s="12"/>
    </row>
    <row r="1212" spans="1:35" s="10" customFormat="1" x14ac:dyDescent="0.35">
      <c r="A1212" s="12"/>
      <c r="B1212" s="12"/>
      <c r="C1212" s="12"/>
      <c r="D1212" s="12"/>
      <c r="E1212" s="12"/>
      <c r="I1212" s="14"/>
      <c r="M1212" s="12"/>
      <c r="T1212" s="12"/>
      <c r="U1212" s="12"/>
      <c r="V1212" s="12"/>
      <c r="W1212" s="12"/>
      <c r="X1212" s="12"/>
      <c r="Y1212" s="12"/>
      <c r="Z1212" s="12"/>
      <c r="AA1212" s="12"/>
      <c r="AB1212" s="12"/>
      <c r="AC1212" s="12"/>
      <c r="AD1212" s="12"/>
      <c r="AE1212" s="12"/>
      <c r="AF1212" s="12"/>
      <c r="AG1212" s="12"/>
      <c r="AH1212" s="12"/>
      <c r="AI1212" s="12"/>
    </row>
    <row r="1213" spans="1:35" s="10" customFormat="1" x14ac:dyDescent="0.35">
      <c r="A1213" s="12"/>
      <c r="B1213" s="12"/>
      <c r="C1213" s="12"/>
      <c r="D1213" s="12"/>
      <c r="E1213" s="12"/>
      <c r="I1213" s="14"/>
      <c r="M1213" s="12"/>
      <c r="T1213" s="12"/>
      <c r="U1213" s="12"/>
      <c r="V1213" s="12"/>
      <c r="W1213" s="12"/>
      <c r="X1213" s="12"/>
      <c r="Y1213" s="12"/>
      <c r="Z1213" s="12"/>
      <c r="AA1213" s="12"/>
      <c r="AB1213" s="12"/>
      <c r="AC1213" s="12"/>
      <c r="AD1213" s="12"/>
      <c r="AE1213" s="12"/>
      <c r="AF1213" s="12"/>
      <c r="AG1213" s="12"/>
      <c r="AH1213" s="12"/>
      <c r="AI1213" s="12"/>
    </row>
    <row r="1214" spans="1:35" s="10" customFormat="1" x14ac:dyDescent="0.35">
      <c r="A1214" s="12"/>
      <c r="B1214" s="12"/>
      <c r="C1214" s="12"/>
      <c r="D1214" s="12"/>
      <c r="E1214" s="12"/>
      <c r="I1214" s="14"/>
      <c r="M1214" s="12"/>
      <c r="T1214" s="12"/>
      <c r="U1214" s="12"/>
      <c r="V1214" s="12"/>
      <c r="W1214" s="12"/>
      <c r="X1214" s="12"/>
      <c r="Y1214" s="12"/>
      <c r="Z1214" s="12"/>
      <c r="AA1214" s="12"/>
      <c r="AB1214" s="12"/>
      <c r="AC1214" s="12"/>
      <c r="AD1214" s="12"/>
      <c r="AE1214" s="12"/>
      <c r="AF1214" s="12"/>
      <c r="AG1214" s="12"/>
      <c r="AH1214" s="12"/>
      <c r="AI1214" s="12"/>
    </row>
    <row r="1215" spans="1:35" s="10" customFormat="1" x14ac:dyDescent="0.35">
      <c r="A1215" s="12"/>
      <c r="B1215" s="12"/>
      <c r="C1215" s="12"/>
      <c r="D1215" s="12"/>
      <c r="E1215" s="12"/>
      <c r="I1215" s="14"/>
      <c r="M1215" s="12"/>
      <c r="T1215" s="12"/>
      <c r="U1215" s="12"/>
      <c r="V1215" s="12"/>
      <c r="W1215" s="12"/>
      <c r="X1215" s="12"/>
      <c r="Y1215" s="12"/>
      <c r="Z1215" s="12"/>
      <c r="AA1215" s="12"/>
      <c r="AB1215" s="12"/>
      <c r="AC1215" s="12"/>
      <c r="AD1215" s="12"/>
      <c r="AE1215" s="12"/>
      <c r="AF1215" s="12"/>
      <c r="AG1215" s="12"/>
      <c r="AH1215" s="12"/>
      <c r="AI1215" s="12"/>
    </row>
    <row r="1216" spans="1:35" s="10" customFormat="1" x14ac:dyDescent="0.35">
      <c r="A1216" s="12"/>
      <c r="B1216" s="12"/>
      <c r="C1216" s="12"/>
      <c r="D1216" s="12"/>
      <c r="E1216" s="12"/>
      <c r="I1216" s="14"/>
      <c r="M1216" s="12"/>
      <c r="T1216" s="12"/>
      <c r="U1216" s="12"/>
      <c r="V1216" s="12"/>
      <c r="W1216" s="12"/>
      <c r="X1216" s="12"/>
      <c r="Y1216" s="12"/>
      <c r="Z1216" s="12"/>
      <c r="AA1216" s="12"/>
      <c r="AB1216" s="12"/>
      <c r="AC1216" s="12"/>
      <c r="AD1216" s="12"/>
      <c r="AE1216" s="12"/>
      <c r="AF1216" s="12"/>
      <c r="AG1216" s="12"/>
      <c r="AH1216" s="12"/>
      <c r="AI1216" s="12"/>
    </row>
    <row r="1217" spans="1:35" s="10" customFormat="1" x14ac:dyDescent="0.35">
      <c r="A1217" s="12"/>
      <c r="B1217" s="12"/>
      <c r="C1217" s="12"/>
      <c r="D1217" s="12"/>
      <c r="E1217" s="12"/>
      <c r="I1217" s="14"/>
      <c r="M1217" s="12"/>
      <c r="T1217" s="12"/>
      <c r="U1217" s="12"/>
      <c r="V1217" s="12"/>
      <c r="W1217" s="12"/>
      <c r="X1217" s="12"/>
      <c r="Y1217" s="12"/>
      <c r="Z1217" s="12"/>
      <c r="AA1217" s="12"/>
      <c r="AB1217" s="12"/>
      <c r="AC1217" s="12"/>
      <c r="AD1217" s="12"/>
      <c r="AE1217" s="12"/>
      <c r="AF1217" s="12"/>
      <c r="AG1217" s="12"/>
      <c r="AH1217" s="12"/>
      <c r="AI1217" s="12"/>
    </row>
    <row r="1218" spans="1:35" s="10" customFormat="1" x14ac:dyDescent="0.35">
      <c r="A1218" s="12"/>
      <c r="B1218" s="12"/>
      <c r="C1218" s="12"/>
      <c r="D1218" s="12"/>
      <c r="E1218" s="12"/>
      <c r="I1218" s="14"/>
      <c r="M1218" s="12"/>
      <c r="T1218" s="12"/>
      <c r="U1218" s="12"/>
      <c r="V1218" s="12"/>
      <c r="W1218" s="12"/>
      <c r="X1218" s="12"/>
      <c r="Y1218" s="12"/>
      <c r="Z1218" s="12"/>
      <c r="AA1218" s="12"/>
      <c r="AB1218" s="12"/>
      <c r="AC1218" s="12"/>
      <c r="AD1218" s="12"/>
      <c r="AE1218" s="12"/>
      <c r="AF1218" s="12"/>
      <c r="AG1218" s="12"/>
      <c r="AH1218" s="12"/>
      <c r="AI1218" s="12"/>
    </row>
    <row r="1219" spans="1:35" s="10" customFormat="1" x14ac:dyDescent="0.35">
      <c r="A1219" s="12"/>
      <c r="B1219" s="12"/>
      <c r="C1219" s="12"/>
      <c r="D1219" s="12"/>
      <c r="E1219" s="12"/>
      <c r="I1219" s="14"/>
      <c r="M1219" s="12"/>
      <c r="T1219" s="12"/>
      <c r="U1219" s="12"/>
      <c r="V1219" s="12"/>
      <c r="W1219" s="12"/>
      <c r="X1219" s="12"/>
      <c r="Y1219" s="12"/>
      <c r="Z1219" s="12"/>
      <c r="AA1219" s="12"/>
      <c r="AB1219" s="12"/>
      <c r="AC1219" s="12"/>
      <c r="AD1219" s="12"/>
      <c r="AE1219" s="12"/>
      <c r="AF1219" s="12"/>
      <c r="AG1219" s="12"/>
      <c r="AH1219" s="12"/>
      <c r="AI1219" s="12"/>
    </row>
    <row r="1220" spans="1:35" s="10" customFormat="1" x14ac:dyDescent="0.35">
      <c r="A1220" s="12"/>
      <c r="B1220" s="12"/>
      <c r="C1220" s="12"/>
      <c r="D1220" s="12"/>
      <c r="E1220" s="12"/>
      <c r="I1220" s="14"/>
      <c r="M1220" s="12"/>
      <c r="T1220" s="12"/>
      <c r="U1220" s="12"/>
      <c r="V1220" s="12"/>
      <c r="W1220" s="12"/>
      <c r="X1220" s="12"/>
      <c r="Y1220" s="12"/>
      <c r="Z1220" s="12"/>
      <c r="AA1220" s="12"/>
      <c r="AB1220" s="12"/>
      <c r="AC1220" s="12"/>
      <c r="AD1220" s="12"/>
      <c r="AE1220" s="12"/>
      <c r="AF1220" s="12"/>
      <c r="AG1220" s="12"/>
      <c r="AH1220" s="12"/>
      <c r="AI1220" s="12"/>
    </row>
    <row r="1221" spans="1:35" s="10" customFormat="1" x14ac:dyDescent="0.35">
      <c r="A1221" s="12"/>
      <c r="B1221" s="12"/>
      <c r="C1221" s="12"/>
      <c r="D1221" s="12"/>
      <c r="E1221" s="12"/>
      <c r="I1221" s="14"/>
      <c r="M1221" s="12"/>
      <c r="T1221" s="12"/>
      <c r="U1221" s="12"/>
      <c r="V1221" s="12"/>
      <c r="W1221" s="12"/>
      <c r="X1221" s="12"/>
      <c r="Y1221" s="12"/>
      <c r="Z1221" s="12"/>
      <c r="AA1221" s="12"/>
      <c r="AB1221" s="12"/>
      <c r="AC1221" s="12"/>
      <c r="AD1221" s="12"/>
      <c r="AE1221" s="12"/>
      <c r="AF1221" s="12"/>
      <c r="AG1221" s="12"/>
      <c r="AH1221" s="12"/>
      <c r="AI1221" s="12"/>
    </row>
    <row r="1222" spans="1:35" s="10" customFormat="1" x14ac:dyDescent="0.35">
      <c r="A1222" s="12"/>
      <c r="B1222" s="12"/>
      <c r="C1222" s="12"/>
      <c r="D1222" s="12"/>
      <c r="E1222" s="12"/>
      <c r="I1222" s="14"/>
      <c r="M1222" s="12"/>
      <c r="T1222" s="12"/>
      <c r="U1222" s="12"/>
      <c r="V1222" s="12"/>
      <c r="W1222" s="12"/>
      <c r="X1222" s="12"/>
      <c r="Y1222" s="12"/>
      <c r="Z1222" s="12"/>
      <c r="AA1222" s="12"/>
      <c r="AB1222" s="12"/>
      <c r="AC1222" s="12"/>
      <c r="AD1222" s="12"/>
      <c r="AE1222" s="12"/>
      <c r="AF1222" s="12"/>
      <c r="AG1222" s="12"/>
      <c r="AH1222" s="12"/>
      <c r="AI1222" s="12"/>
    </row>
    <row r="1223" spans="1:35" s="10" customFormat="1" x14ac:dyDescent="0.35">
      <c r="A1223" s="12"/>
      <c r="B1223" s="12"/>
      <c r="C1223" s="12"/>
      <c r="D1223" s="12"/>
      <c r="E1223" s="12"/>
      <c r="I1223" s="14"/>
      <c r="M1223" s="12"/>
      <c r="T1223" s="12"/>
      <c r="U1223" s="12"/>
      <c r="V1223" s="12"/>
      <c r="W1223" s="12"/>
      <c r="X1223" s="12"/>
      <c r="Y1223" s="12"/>
      <c r="Z1223" s="12"/>
      <c r="AA1223" s="12"/>
      <c r="AB1223" s="12"/>
      <c r="AC1223" s="12"/>
      <c r="AD1223" s="12"/>
      <c r="AE1223" s="12"/>
      <c r="AF1223" s="12"/>
      <c r="AG1223" s="12"/>
      <c r="AH1223" s="12"/>
      <c r="AI1223" s="12"/>
    </row>
    <row r="1224" spans="1:35" s="10" customFormat="1" x14ac:dyDescent="0.35">
      <c r="A1224" s="12"/>
      <c r="B1224" s="12"/>
      <c r="C1224" s="12"/>
      <c r="D1224" s="12"/>
      <c r="E1224" s="12"/>
      <c r="I1224" s="14"/>
      <c r="M1224" s="12"/>
      <c r="T1224" s="12"/>
      <c r="U1224" s="12"/>
      <c r="V1224" s="12"/>
      <c r="W1224" s="12"/>
      <c r="X1224" s="12"/>
      <c r="Y1224" s="12"/>
      <c r="Z1224" s="12"/>
      <c r="AA1224" s="12"/>
      <c r="AB1224" s="12"/>
      <c r="AC1224" s="12"/>
      <c r="AD1224" s="12"/>
      <c r="AE1224" s="12"/>
      <c r="AF1224" s="12"/>
      <c r="AG1224" s="12"/>
      <c r="AH1224" s="12"/>
      <c r="AI1224" s="12"/>
    </row>
    <row r="1225" spans="1:35" s="10" customFormat="1" x14ac:dyDescent="0.35">
      <c r="A1225" s="12"/>
      <c r="B1225" s="12"/>
      <c r="C1225" s="12"/>
      <c r="D1225" s="12"/>
      <c r="E1225" s="12"/>
      <c r="I1225" s="14"/>
      <c r="M1225" s="12"/>
      <c r="T1225" s="12"/>
      <c r="U1225" s="12"/>
      <c r="V1225" s="12"/>
      <c r="W1225" s="12"/>
      <c r="X1225" s="12"/>
      <c r="Y1225" s="12"/>
      <c r="Z1225" s="12"/>
      <c r="AA1225" s="12"/>
      <c r="AB1225" s="12"/>
      <c r="AC1225" s="12"/>
      <c r="AD1225" s="12"/>
      <c r="AE1225" s="12"/>
      <c r="AF1225" s="12"/>
      <c r="AG1225" s="12"/>
      <c r="AH1225" s="12"/>
      <c r="AI1225" s="12"/>
    </row>
    <row r="1226" spans="1:35" s="10" customFormat="1" x14ac:dyDescent="0.35">
      <c r="A1226" s="12"/>
      <c r="B1226" s="12"/>
      <c r="C1226" s="12"/>
      <c r="D1226" s="12"/>
      <c r="E1226" s="12"/>
      <c r="I1226" s="14"/>
      <c r="M1226" s="12"/>
      <c r="T1226" s="12"/>
      <c r="U1226" s="12"/>
      <c r="V1226" s="12"/>
      <c r="W1226" s="12"/>
      <c r="X1226" s="12"/>
      <c r="Y1226" s="12"/>
      <c r="Z1226" s="12"/>
      <c r="AA1226" s="12"/>
      <c r="AB1226" s="12"/>
      <c r="AC1226" s="12"/>
      <c r="AD1226" s="12"/>
      <c r="AE1226" s="12"/>
      <c r="AF1226" s="12"/>
      <c r="AG1226" s="12"/>
      <c r="AH1226" s="12"/>
      <c r="AI1226" s="12"/>
    </row>
    <row r="1227" spans="1:35" s="10" customFormat="1" x14ac:dyDescent="0.35">
      <c r="A1227" s="12"/>
      <c r="B1227" s="12"/>
      <c r="C1227" s="12"/>
      <c r="D1227" s="12"/>
      <c r="E1227" s="12"/>
      <c r="I1227" s="14"/>
      <c r="M1227" s="12"/>
      <c r="T1227" s="12"/>
      <c r="U1227" s="12"/>
      <c r="V1227" s="12"/>
      <c r="W1227" s="12"/>
      <c r="X1227" s="12"/>
      <c r="Y1227" s="12"/>
      <c r="Z1227" s="12"/>
      <c r="AA1227" s="12"/>
      <c r="AB1227" s="12"/>
      <c r="AC1227" s="12"/>
      <c r="AD1227" s="12"/>
      <c r="AE1227" s="12"/>
      <c r="AF1227" s="12"/>
      <c r="AG1227" s="12"/>
      <c r="AH1227" s="12"/>
      <c r="AI1227" s="12"/>
    </row>
    <row r="1228" spans="1:35" s="10" customFormat="1" x14ac:dyDescent="0.35">
      <c r="A1228" s="12"/>
      <c r="B1228" s="12"/>
      <c r="C1228" s="12"/>
      <c r="D1228" s="12"/>
      <c r="E1228" s="12"/>
      <c r="I1228" s="14"/>
      <c r="M1228" s="12"/>
      <c r="T1228" s="12"/>
      <c r="U1228" s="12"/>
      <c r="V1228" s="12"/>
      <c r="W1228" s="12"/>
      <c r="X1228" s="12"/>
      <c r="Y1228" s="12"/>
      <c r="Z1228" s="12"/>
      <c r="AA1228" s="12"/>
      <c r="AB1228" s="12"/>
      <c r="AC1228" s="12"/>
      <c r="AD1228" s="12"/>
      <c r="AE1228" s="12"/>
      <c r="AF1228" s="12"/>
      <c r="AG1228" s="12"/>
      <c r="AH1228" s="12"/>
      <c r="AI1228" s="12"/>
    </row>
    <row r="1229" spans="1:35" s="10" customFormat="1" x14ac:dyDescent="0.35">
      <c r="A1229" s="12"/>
      <c r="B1229" s="12"/>
      <c r="C1229" s="12"/>
      <c r="D1229" s="12"/>
      <c r="E1229" s="12"/>
      <c r="I1229" s="14"/>
      <c r="M1229" s="12"/>
      <c r="T1229" s="12"/>
      <c r="U1229" s="12"/>
      <c r="V1229" s="12"/>
      <c r="W1229" s="12"/>
      <c r="X1229" s="12"/>
      <c r="Y1229" s="12"/>
      <c r="Z1229" s="12"/>
      <c r="AA1229" s="12"/>
      <c r="AB1229" s="12"/>
      <c r="AC1229" s="12"/>
      <c r="AD1229" s="12"/>
      <c r="AE1229" s="12"/>
      <c r="AF1229" s="12"/>
      <c r="AG1229" s="12"/>
      <c r="AH1229" s="12"/>
      <c r="AI1229" s="12"/>
    </row>
    <row r="1230" spans="1:35" s="10" customFormat="1" x14ac:dyDescent="0.35">
      <c r="A1230" s="12"/>
      <c r="B1230" s="12"/>
      <c r="C1230" s="12"/>
      <c r="D1230" s="12"/>
      <c r="E1230" s="12"/>
      <c r="I1230" s="14"/>
      <c r="M1230" s="12"/>
      <c r="T1230" s="12"/>
      <c r="U1230" s="12"/>
      <c r="V1230" s="12"/>
      <c r="W1230" s="12"/>
      <c r="X1230" s="12"/>
      <c r="Y1230" s="12"/>
      <c r="Z1230" s="12"/>
      <c r="AA1230" s="12"/>
      <c r="AB1230" s="12"/>
      <c r="AC1230" s="12"/>
      <c r="AD1230" s="12"/>
      <c r="AE1230" s="12"/>
      <c r="AF1230" s="12"/>
      <c r="AG1230" s="12"/>
      <c r="AH1230" s="12"/>
      <c r="AI1230" s="12"/>
    </row>
    <row r="1231" spans="1:35" s="10" customFormat="1" x14ac:dyDescent="0.35">
      <c r="A1231" s="12"/>
      <c r="B1231" s="12"/>
      <c r="C1231" s="12"/>
      <c r="D1231" s="12"/>
      <c r="E1231" s="12"/>
      <c r="I1231" s="14"/>
      <c r="M1231" s="12"/>
      <c r="T1231" s="12"/>
      <c r="U1231" s="12"/>
      <c r="V1231" s="12"/>
      <c r="W1231" s="12"/>
      <c r="X1231" s="12"/>
      <c r="Y1231" s="12"/>
      <c r="Z1231" s="12"/>
      <c r="AA1231" s="12"/>
      <c r="AB1231" s="12"/>
      <c r="AC1231" s="12"/>
      <c r="AD1231" s="12"/>
      <c r="AE1231" s="12"/>
      <c r="AF1231" s="12"/>
      <c r="AG1231" s="12"/>
      <c r="AH1231" s="12"/>
      <c r="AI1231" s="12"/>
    </row>
    <row r="1232" spans="1:35" s="10" customFormat="1" x14ac:dyDescent="0.35">
      <c r="A1232" s="12"/>
      <c r="B1232" s="12"/>
      <c r="C1232" s="12"/>
      <c r="D1232" s="12"/>
      <c r="E1232" s="12"/>
      <c r="I1232" s="14"/>
      <c r="M1232" s="12"/>
      <c r="T1232" s="12"/>
      <c r="U1232" s="12"/>
      <c r="V1232" s="12"/>
      <c r="W1232" s="12"/>
      <c r="X1232" s="12"/>
      <c r="Y1232" s="12"/>
      <c r="Z1232" s="12"/>
      <c r="AA1232" s="12"/>
      <c r="AB1232" s="12"/>
      <c r="AC1232" s="12"/>
      <c r="AD1232" s="12"/>
      <c r="AE1232" s="12"/>
      <c r="AF1232" s="12"/>
      <c r="AG1232" s="12"/>
      <c r="AH1232" s="12"/>
      <c r="AI1232" s="12"/>
    </row>
    <row r="1233" spans="1:35" s="10" customFormat="1" x14ac:dyDescent="0.35">
      <c r="A1233" s="12"/>
      <c r="B1233" s="12"/>
      <c r="C1233" s="12"/>
      <c r="D1233" s="12"/>
      <c r="E1233" s="12"/>
      <c r="I1233" s="14"/>
      <c r="M1233" s="12"/>
      <c r="T1233" s="12"/>
      <c r="U1233" s="12"/>
      <c r="V1233" s="12"/>
      <c r="W1233" s="12"/>
      <c r="X1233" s="12"/>
      <c r="Y1233" s="12"/>
      <c r="Z1233" s="12"/>
      <c r="AA1233" s="12"/>
      <c r="AB1233" s="12"/>
      <c r="AC1233" s="12"/>
      <c r="AD1233" s="12"/>
      <c r="AE1233" s="12"/>
      <c r="AF1233" s="12"/>
      <c r="AG1233" s="12"/>
      <c r="AH1233" s="12"/>
      <c r="AI1233" s="12"/>
    </row>
    <row r="1234" spans="1:35" s="10" customFormat="1" x14ac:dyDescent="0.35">
      <c r="A1234" s="12"/>
      <c r="B1234" s="12"/>
      <c r="C1234" s="12"/>
      <c r="D1234" s="12"/>
      <c r="E1234" s="12"/>
      <c r="I1234" s="14"/>
      <c r="M1234" s="12"/>
      <c r="T1234" s="12"/>
      <c r="U1234" s="12"/>
      <c r="V1234" s="12"/>
      <c r="W1234" s="12"/>
      <c r="X1234" s="12"/>
      <c r="Y1234" s="12"/>
      <c r="Z1234" s="12"/>
      <c r="AA1234" s="12"/>
      <c r="AB1234" s="12"/>
      <c r="AC1234" s="12"/>
      <c r="AD1234" s="12"/>
      <c r="AE1234" s="12"/>
      <c r="AF1234" s="12"/>
      <c r="AG1234" s="12"/>
      <c r="AH1234" s="12"/>
      <c r="AI1234" s="12"/>
    </row>
    <row r="1235" spans="1:35" s="10" customFormat="1" x14ac:dyDescent="0.35">
      <c r="A1235" s="12"/>
      <c r="B1235" s="12"/>
      <c r="C1235" s="12"/>
      <c r="D1235" s="12"/>
      <c r="E1235" s="12"/>
      <c r="I1235" s="14"/>
      <c r="M1235" s="12"/>
      <c r="T1235" s="12"/>
      <c r="U1235" s="12"/>
      <c r="V1235" s="12"/>
      <c r="W1235" s="12"/>
      <c r="X1235" s="12"/>
      <c r="Y1235" s="12"/>
      <c r="Z1235" s="12"/>
      <c r="AA1235" s="12"/>
      <c r="AB1235" s="12"/>
      <c r="AC1235" s="12"/>
      <c r="AD1235" s="12"/>
      <c r="AE1235" s="12"/>
      <c r="AF1235" s="12"/>
      <c r="AG1235" s="12"/>
      <c r="AH1235" s="12"/>
      <c r="AI1235" s="12"/>
    </row>
    <row r="1236" spans="1:35" s="10" customFormat="1" x14ac:dyDescent="0.35">
      <c r="A1236" s="12"/>
      <c r="B1236" s="12"/>
      <c r="C1236" s="12"/>
      <c r="D1236" s="12"/>
      <c r="E1236" s="12"/>
      <c r="I1236" s="14"/>
      <c r="M1236" s="12"/>
      <c r="T1236" s="12"/>
      <c r="U1236" s="12"/>
      <c r="V1236" s="12"/>
      <c r="W1236" s="12"/>
      <c r="X1236" s="12"/>
      <c r="Y1236" s="12"/>
      <c r="Z1236" s="12"/>
      <c r="AA1236" s="12"/>
      <c r="AB1236" s="12"/>
      <c r="AC1236" s="12"/>
      <c r="AD1236" s="12"/>
      <c r="AE1236" s="12"/>
      <c r="AF1236" s="12"/>
      <c r="AG1236" s="12"/>
      <c r="AH1236" s="12"/>
      <c r="AI1236" s="12"/>
    </row>
    <row r="1237" spans="1:35" s="10" customFormat="1" x14ac:dyDescent="0.35">
      <c r="A1237" s="12"/>
      <c r="B1237" s="12"/>
      <c r="C1237" s="12"/>
      <c r="D1237" s="12"/>
      <c r="E1237" s="12"/>
      <c r="I1237" s="14"/>
      <c r="M1237" s="12"/>
      <c r="T1237" s="12"/>
      <c r="U1237" s="12"/>
      <c r="V1237" s="12"/>
      <c r="W1237" s="12"/>
      <c r="X1237" s="12"/>
      <c r="Y1237" s="12"/>
      <c r="Z1237" s="12"/>
      <c r="AA1237" s="12"/>
      <c r="AB1237" s="12"/>
      <c r="AC1237" s="12"/>
      <c r="AD1237" s="12"/>
      <c r="AE1237" s="12"/>
      <c r="AF1237" s="12"/>
      <c r="AG1237" s="12"/>
      <c r="AH1237" s="12"/>
      <c r="AI1237" s="12"/>
    </row>
    <row r="1238" spans="1:35" s="10" customFormat="1" x14ac:dyDescent="0.35">
      <c r="A1238" s="12"/>
      <c r="B1238" s="12"/>
      <c r="C1238" s="12"/>
      <c r="D1238" s="12"/>
      <c r="E1238" s="12"/>
      <c r="I1238" s="14"/>
      <c r="M1238" s="12"/>
      <c r="T1238" s="12"/>
      <c r="U1238" s="12"/>
      <c r="V1238" s="12"/>
      <c r="W1238" s="12"/>
      <c r="X1238" s="12"/>
      <c r="Y1238" s="12"/>
      <c r="Z1238" s="12"/>
      <c r="AA1238" s="12"/>
      <c r="AB1238" s="12"/>
      <c r="AC1238" s="12"/>
      <c r="AD1238" s="12"/>
      <c r="AE1238" s="12"/>
      <c r="AF1238" s="12"/>
      <c r="AG1238" s="12"/>
      <c r="AH1238" s="12"/>
      <c r="AI1238" s="12"/>
    </row>
    <row r="1239" spans="1:35" s="10" customFormat="1" x14ac:dyDescent="0.35">
      <c r="A1239" s="12"/>
      <c r="B1239" s="12"/>
      <c r="C1239" s="12"/>
      <c r="D1239" s="12"/>
      <c r="E1239" s="12"/>
      <c r="I1239" s="14"/>
      <c r="M1239" s="12"/>
      <c r="T1239" s="12"/>
      <c r="U1239" s="12"/>
      <c r="V1239" s="12"/>
      <c r="W1239" s="12"/>
      <c r="X1239" s="12"/>
      <c r="Y1239" s="12"/>
      <c r="Z1239" s="12"/>
      <c r="AA1239" s="12"/>
      <c r="AB1239" s="12"/>
      <c r="AC1239" s="12"/>
      <c r="AD1239" s="12"/>
      <c r="AE1239" s="12"/>
      <c r="AF1239" s="12"/>
      <c r="AG1239" s="12"/>
      <c r="AH1239" s="12"/>
      <c r="AI1239" s="12"/>
    </row>
    <row r="1240" spans="1:35" s="10" customFormat="1" x14ac:dyDescent="0.35">
      <c r="A1240" s="12"/>
      <c r="B1240" s="12"/>
      <c r="C1240" s="12"/>
      <c r="D1240" s="12"/>
      <c r="E1240" s="12"/>
      <c r="I1240" s="14"/>
      <c r="M1240" s="12"/>
      <c r="T1240" s="12"/>
      <c r="U1240" s="12"/>
      <c r="V1240" s="12"/>
      <c r="W1240" s="12"/>
      <c r="X1240" s="12"/>
      <c r="Y1240" s="12"/>
      <c r="Z1240" s="12"/>
      <c r="AA1240" s="12"/>
      <c r="AB1240" s="12"/>
      <c r="AC1240" s="12"/>
      <c r="AD1240" s="12"/>
      <c r="AE1240" s="12"/>
      <c r="AF1240" s="12"/>
      <c r="AG1240" s="12"/>
      <c r="AH1240" s="12"/>
      <c r="AI1240" s="12"/>
    </row>
    <row r="1241" spans="1:35" s="10" customFormat="1" x14ac:dyDescent="0.35">
      <c r="A1241" s="12"/>
      <c r="B1241" s="12"/>
      <c r="C1241" s="12"/>
      <c r="D1241" s="12"/>
      <c r="E1241" s="12"/>
      <c r="I1241" s="14"/>
      <c r="M1241" s="12"/>
      <c r="T1241" s="12"/>
      <c r="U1241" s="12"/>
      <c r="V1241" s="12"/>
      <c r="W1241" s="12"/>
      <c r="X1241" s="12"/>
      <c r="Y1241" s="12"/>
      <c r="Z1241" s="12"/>
      <c r="AA1241" s="12"/>
      <c r="AB1241" s="12"/>
      <c r="AC1241" s="12"/>
      <c r="AD1241" s="12"/>
      <c r="AE1241" s="12"/>
      <c r="AF1241" s="12"/>
      <c r="AG1241" s="12"/>
      <c r="AH1241" s="12"/>
      <c r="AI1241" s="12"/>
    </row>
    <row r="1242" spans="1:35" s="10" customFormat="1" x14ac:dyDescent="0.35">
      <c r="A1242" s="12"/>
      <c r="B1242" s="12"/>
      <c r="C1242" s="12"/>
      <c r="D1242" s="12"/>
      <c r="E1242" s="12"/>
      <c r="I1242" s="14"/>
      <c r="M1242" s="12"/>
      <c r="T1242" s="12"/>
      <c r="U1242" s="12"/>
      <c r="V1242" s="12"/>
      <c r="W1242" s="12"/>
      <c r="X1242" s="12"/>
      <c r="Y1242" s="12"/>
      <c r="Z1242" s="12"/>
      <c r="AA1242" s="12"/>
      <c r="AB1242" s="12"/>
      <c r="AC1242" s="12"/>
      <c r="AD1242" s="12"/>
      <c r="AE1242" s="12"/>
      <c r="AF1242" s="12"/>
      <c r="AG1242" s="12"/>
      <c r="AH1242" s="12"/>
      <c r="AI1242" s="12"/>
    </row>
    <row r="1243" spans="1:35" s="10" customFormat="1" x14ac:dyDescent="0.35">
      <c r="A1243" s="12"/>
      <c r="B1243" s="12"/>
      <c r="C1243" s="12"/>
      <c r="D1243" s="12"/>
      <c r="E1243" s="12"/>
      <c r="I1243" s="14"/>
      <c r="M1243" s="12"/>
      <c r="T1243" s="12"/>
      <c r="U1243" s="12"/>
      <c r="V1243" s="12"/>
      <c r="W1243" s="12"/>
      <c r="X1243" s="12"/>
      <c r="Y1243" s="12"/>
      <c r="Z1243" s="12"/>
      <c r="AA1243" s="12"/>
      <c r="AB1243" s="12"/>
      <c r="AC1243" s="12"/>
      <c r="AD1243" s="12"/>
      <c r="AE1243" s="12"/>
      <c r="AF1243" s="12"/>
      <c r="AG1243" s="12"/>
      <c r="AH1243" s="12"/>
      <c r="AI1243" s="12"/>
    </row>
    <row r="1244" spans="1:35" s="10" customFormat="1" x14ac:dyDescent="0.35">
      <c r="A1244" s="12"/>
      <c r="B1244" s="12"/>
      <c r="C1244" s="12"/>
      <c r="D1244" s="12"/>
      <c r="E1244" s="12"/>
      <c r="I1244" s="14"/>
      <c r="M1244" s="12"/>
      <c r="T1244" s="12"/>
      <c r="U1244" s="12"/>
      <c r="V1244" s="12"/>
      <c r="W1244" s="12"/>
      <c r="X1244" s="12"/>
      <c r="Y1244" s="12"/>
      <c r="Z1244" s="12"/>
      <c r="AA1244" s="12"/>
      <c r="AB1244" s="12"/>
      <c r="AC1244" s="12"/>
      <c r="AD1244" s="12"/>
      <c r="AE1244" s="12"/>
      <c r="AF1244" s="12"/>
      <c r="AG1244" s="12"/>
      <c r="AH1244" s="12"/>
      <c r="AI1244" s="12"/>
    </row>
    <row r="1245" spans="1:35" s="10" customFormat="1" x14ac:dyDescent="0.35">
      <c r="A1245" s="12"/>
      <c r="B1245" s="12"/>
      <c r="C1245" s="12"/>
      <c r="D1245" s="12"/>
      <c r="E1245" s="12"/>
      <c r="I1245" s="14"/>
      <c r="M1245" s="12"/>
      <c r="T1245" s="12"/>
      <c r="U1245" s="12"/>
      <c r="V1245" s="12"/>
      <c r="W1245" s="12"/>
      <c r="X1245" s="12"/>
      <c r="Y1245" s="12"/>
      <c r="Z1245" s="12"/>
      <c r="AA1245" s="12"/>
      <c r="AB1245" s="12"/>
      <c r="AC1245" s="12"/>
      <c r="AD1245" s="12"/>
      <c r="AE1245" s="12"/>
      <c r="AF1245" s="12"/>
      <c r="AG1245" s="12"/>
      <c r="AH1245" s="12"/>
      <c r="AI1245" s="12"/>
    </row>
    <row r="1246" spans="1:35" s="10" customFormat="1" x14ac:dyDescent="0.35">
      <c r="A1246" s="12"/>
      <c r="B1246" s="12"/>
      <c r="C1246" s="12"/>
      <c r="D1246" s="12"/>
      <c r="E1246" s="12"/>
      <c r="I1246" s="14"/>
      <c r="M1246" s="12"/>
      <c r="T1246" s="12"/>
      <c r="U1246" s="12"/>
      <c r="V1246" s="12"/>
      <c r="W1246" s="12"/>
      <c r="X1246" s="12"/>
      <c r="Y1246" s="12"/>
      <c r="Z1246" s="12"/>
      <c r="AA1246" s="12"/>
      <c r="AB1246" s="12"/>
      <c r="AC1246" s="12"/>
      <c r="AD1246" s="12"/>
      <c r="AE1246" s="12"/>
      <c r="AF1246" s="12"/>
      <c r="AG1246" s="12"/>
      <c r="AH1246" s="12"/>
      <c r="AI1246" s="12"/>
    </row>
    <row r="1247" spans="1:35" s="10" customFormat="1" x14ac:dyDescent="0.35">
      <c r="A1247" s="12"/>
      <c r="B1247" s="12"/>
      <c r="C1247" s="12"/>
      <c r="D1247" s="12"/>
      <c r="E1247" s="12"/>
      <c r="I1247" s="14"/>
      <c r="M1247" s="12"/>
      <c r="T1247" s="12"/>
      <c r="U1247" s="12"/>
      <c r="V1247" s="12"/>
      <c r="W1247" s="12"/>
      <c r="X1247" s="12"/>
      <c r="Y1247" s="12"/>
      <c r="Z1247" s="12"/>
      <c r="AA1247" s="12"/>
      <c r="AB1247" s="12"/>
      <c r="AC1247" s="12"/>
      <c r="AD1247" s="12"/>
      <c r="AE1247" s="12"/>
      <c r="AF1247" s="12"/>
      <c r="AG1247" s="12"/>
      <c r="AH1247" s="12"/>
      <c r="AI1247" s="12"/>
    </row>
    <row r="1248" spans="1:35" s="10" customFormat="1" x14ac:dyDescent="0.35">
      <c r="A1248" s="12"/>
      <c r="B1248" s="12"/>
      <c r="C1248" s="12"/>
      <c r="D1248" s="12"/>
      <c r="E1248" s="12"/>
      <c r="I1248" s="14"/>
      <c r="M1248" s="12"/>
      <c r="T1248" s="12"/>
      <c r="U1248" s="12"/>
      <c r="V1248" s="12"/>
      <c r="W1248" s="12"/>
      <c r="X1248" s="12"/>
      <c r="Y1248" s="12"/>
      <c r="Z1248" s="12"/>
      <c r="AA1248" s="12"/>
      <c r="AB1248" s="12"/>
      <c r="AC1248" s="12"/>
      <c r="AD1248" s="12"/>
      <c r="AE1248" s="12"/>
      <c r="AF1248" s="12"/>
      <c r="AG1248" s="12"/>
      <c r="AH1248" s="12"/>
      <c r="AI1248" s="12"/>
    </row>
    <row r="1249" spans="1:35" s="10" customFormat="1" x14ac:dyDescent="0.35">
      <c r="A1249" s="12"/>
      <c r="B1249" s="12"/>
      <c r="C1249" s="12"/>
      <c r="D1249" s="12"/>
      <c r="E1249" s="12"/>
      <c r="I1249" s="14"/>
      <c r="M1249" s="12"/>
      <c r="T1249" s="12"/>
      <c r="U1249" s="12"/>
      <c r="V1249" s="12"/>
      <c r="W1249" s="12"/>
      <c r="X1249" s="12"/>
      <c r="Y1249" s="12"/>
      <c r="Z1249" s="12"/>
      <c r="AA1249" s="12"/>
      <c r="AB1249" s="12"/>
      <c r="AC1249" s="12"/>
      <c r="AD1249" s="12"/>
      <c r="AE1249" s="12"/>
      <c r="AF1249" s="12"/>
      <c r="AG1249" s="12"/>
      <c r="AH1249" s="12"/>
      <c r="AI1249" s="12"/>
    </row>
    <row r="1250" spans="1:35" s="10" customFormat="1" x14ac:dyDescent="0.35">
      <c r="A1250" s="12"/>
      <c r="B1250" s="12"/>
      <c r="C1250" s="12"/>
      <c r="D1250" s="12"/>
      <c r="E1250" s="12"/>
      <c r="I1250" s="14"/>
      <c r="M1250" s="12"/>
      <c r="T1250" s="12"/>
      <c r="U1250" s="12"/>
      <c r="V1250" s="12"/>
      <c r="W1250" s="12"/>
      <c r="X1250" s="12"/>
      <c r="Y1250" s="12"/>
      <c r="Z1250" s="12"/>
      <c r="AA1250" s="12"/>
      <c r="AB1250" s="12"/>
      <c r="AC1250" s="12"/>
      <c r="AD1250" s="12"/>
      <c r="AE1250" s="12"/>
      <c r="AF1250" s="12"/>
      <c r="AG1250" s="12"/>
      <c r="AH1250" s="12"/>
      <c r="AI1250" s="12"/>
    </row>
    <row r="1251" spans="1:35" s="10" customFormat="1" x14ac:dyDescent="0.35">
      <c r="A1251" s="12"/>
      <c r="B1251" s="12"/>
      <c r="C1251" s="12"/>
      <c r="D1251" s="12"/>
      <c r="E1251" s="12"/>
      <c r="I1251" s="14"/>
      <c r="M1251" s="12"/>
      <c r="T1251" s="12"/>
      <c r="U1251" s="12"/>
      <c r="V1251" s="12"/>
      <c r="W1251" s="12"/>
      <c r="X1251" s="12"/>
      <c r="Y1251" s="12"/>
      <c r="Z1251" s="12"/>
      <c r="AA1251" s="12"/>
      <c r="AB1251" s="12"/>
      <c r="AC1251" s="12"/>
      <c r="AD1251" s="12"/>
      <c r="AE1251" s="12"/>
      <c r="AF1251" s="12"/>
      <c r="AG1251" s="12"/>
      <c r="AH1251" s="12"/>
      <c r="AI1251" s="12"/>
    </row>
    <row r="1252" spans="1:35" s="10" customFormat="1" x14ac:dyDescent="0.35">
      <c r="A1252" s="12"/>
      <c r="B1252" s="12"/>
      <c r="C1252" s="12"/>
      <c r="D1252" s="12"/>
      <c r="E1252" s="12"/>
      <c r="I1252" s="14"/>
      <c r="M1252" s="12"/>
      <c r="T1252" s="12"/>
      <c r="U1252" s="12"/>
      <c r="V1252" s="12"/>
      <c r="W1252" s="12"/>
      <c r="X1252" s="12"/>
      <c r="Y1252" s="12"/>
      <c r="Z1252" s="12"/>
      <c r="AA1252" s="12"/>
      <c r="AB1252" s="12"/>
      <c r="AC1252" s="12"/>
      <c r="AD1252" s="12"/>
      <c r="AE1252" s="12"/>
      <c r="AF1252" s="12"/>
      <c r="AG1252" s="12"/>
      <c r="AH1252" s="12"/>
      <c r="AI1252" s="12"/>
    </row>
    <row r="1253" spans="1:35" s="10" customFormat="1" x14ac:dyDescent="0.35">
      <c r="A1253" s="12"/>
      <c r="B1253" s="12"/>
      <c r="C1253" s="12"/>
      <c r="D1253" s="12"/>
      <c r="E1253" s="12"/>
      <c r="I1253" s="14"/>
      <c r="M1253" s="12"/>
      <c r="T1253" s="12"/>
      <c r="U1253" s="12"/>
      <c r="V1253" s="12"/>
      <c r="W1253" s="12"/>
      <c r="X1253" s="12"/>
      <c r="Y1253" s="12"/>
      <c r="Z1253" s="12"/>
      <c r="AA1253" s="12"/>
      <c r="AB1253" s="12"/>
      <c r="AC1253" s="12"/>
      <c r="AD1253" s="12"/>
      <c r="AE1253" s="12"/>
      <c r="AF1253" s="12"/>
      <c r="AG1253" s="12"/>
      <c r="AH1253" s="12"/>
      <c r="AI1253" s="12"/>
    </row>
    <row r="1254" spans="1:35" s="10" customFormat="1" x14ac:dyDescent="0.35">
      <c r="A1254" s="12"/>
      <c r="B1254" s="12"/>
      <c r="C1254" s="12"/>
      <c r="D1254" s="12"/>
      <c r="E1254" s="12"/>
      <c r="I1254" s="14"/>
      <c r="M1254" s="12"/>
      <c r="T1254" s="12"/>
      <c r="U1254" s="12"/>
      <c r="V1254" s="12"/>
      <c r="W1254" s="12"/>
      <c r="X1254" s="12"/>
      <c r="Y1254" s="12"/>
      <c r="Z1254" s="12"/>
      <c r="AA1254" s="12"/>
      <c r="AB1254" s="12"/>
      <c r="AC1254" s="12"/>
      <c r="AD1254" s="12"/>
      <c r="AE1254" s="12"/>
      <c r="AF1254" s="12"/>
      <c r="AG1254" s="12"/>
      <c r="AH1254" s="12"/>
      <c r="AI1254" s="12"/>
    </row>
    <row r="1255" spans="1:35" s="10" customFormat="1" x14ac:dyDescent="0.35">
      <c r="A1255" s="12"/>
      <c r="B1255" s="12"/>
      <c r="C1255" s="12"/>
      <c r="D1255" s="12"/>
      <c r="E1255" s="12"/>
      <c r="I1255" s="14"/>
      <c r="M1255" s="12"/>
      <c r="T1255" s="12"/>
      <c r="U1255" s="12"/>
      <c r="V1255" s="12"/>
      <c r="W1255" s="12"/>
      <c r="X1255" s="12"/>
      <c r="Y1255" s="12"/>
      <c r="Z1255" s="12"/>
      <c r="AA1255" s="12"/>
      <c r="AB1255" s="12"/>
      <c r="AC1255" s="12"/>
      <c r="AD1255" s="12"/>
      <c r="AE1255" s="12"/>
      <c r="AF1255" s="12"/>
      <c r="AG1255" s="12"/>
      <c r="AH1255" s="12"/>
      <c r="AI1255" s="12"/>
    </row>
    <row r="1256" spans="1:35" s="10" customFormat="1" x14ac:dyDescent="0.35">
      <c r="A1256" s="12"/>
      <c r="B1256" s="12"/>
      <c r="C1256" s="12"/>
      <c r="D1256" s="12"/>
      <c r="E1256" s="12"/>
      <c r="I1256" s="14"/>
      <c r="M1256" s="12"/>
      <c r="T1256" s="12"/>
      <c r="U1256" s="12"/>
      <c r="V1256" s="12"/>
      <c r="W1256" s="12"/>
      <c r="X1256" s="12"/>
      <c r="Y1256" s="12"/>
      <c r="Z1256" s="12"/>
      <c r="AA1256" s="12"/>
      <c r="AB1256" s="12"/>
      <c r="AC1256" s="12"/>
      <c r="AD1256" s="12"/>
      <c r="AE1256" s="12"/>
      <c r="AF1256" s="12"/>
      <c r="AG1256" s="12"/>
      <c r="AH1256" s="12"/>
      <c r="AI1256" s="12"/>
    </row>
    <row r="1257" spans="1:35" s="10" customFormat="1" x14ac:dyDescent="0.35">
      <c r="A1257" s="12"/>
      <c r="B1257" s="12"/>
      <c r="C1257" s="12"/>
      <c r="D1257" s="12"/>
      <c r="E1257" s="12"/>
      <c r="I1257" s="14"/>
      <c r="M1257" s="12"/>
      <c r="T1257" s="12"/>
      <c r="U1257" s="12"/>
      <c r="V1257" s="12"/>
      <c r="W1257" s="12"/>
      <c r="X1257" s="12"/>
      <c r="Y1257" s="12"/>
      <c r="Z1257" s="12"/>
      <c r="AA1257" s="12"/>
      <c r="AB1257" s="12"/>
      <c r="AC1257" s="12"/>
      <c r="AD1257" s="12"/>
      <c r="AE1257" s="12"/>
      <c r="AF1257" s="12"/>
      <c r="AG1257" s="12"/>
      <c r="AH1257" s="12"/>
      <c r="AI1257" s="12"/>
    </row>
    <row r="1258" spans="1:35" s="10" customFormat="1" x14ac:dyDescent="0.35">
      <c r="A1258" s="12"/>
      <c r="B1258" s="12"/>
      <c r="C1258" s="12"/>
      <c r="D1258" s="12"/>
      <c r="E1258" s="12"/>
      <c r="I1258" s="14"/>
      <c r="M1258" s="12"/>
      <c r="T1258" s="12"/>
      <c r="U1258" s="12"/>
      <c r="V1258" s="12"/>
      <c r="W1258" s="12"/>
      <c r="X1258" s="12"/>
      <c r="Y1258" s="12"/>
      <c r="Z1258" s="12"/>
      <c r="AA1258" s="12"/>
      <c r="AB1258" s="12"/>
      <c r="AC1258" s="12"/>
      <c r="AD1258" s="12"/>
      <c r="AE1258" s="12"/>
      <c r="AF1258" s="12"/>
      <c r="AG1258" s="12"/>
      <c r="AH1258" s="12"/>
      <c r="AI1258" s="12"/>
    </row>
    <row r="1259" spans="1:35" s="10" customFormat="1" x14ac:dyDescent="0.35">
      <c r="A1259" s="12"/>
      <c r="B1259" s="12"/>
      <c r="C1259" s="12"/>
      <c r="D1259" s="12"/>
      <c r="E1259" s="12"/>
      <c r="I1259" s="14"/>
      <c r="M1259" s="12"/>
      <c r="T1259" s="12"/>
      <c r="U1259" s="12"/>
      <c r="V1259" s="12"/>
      <c r="W1259" s="12"/>
      <c r="X1259" s="12"/>
      <c r="Y1259" s="12"/>
      <c r="Z1259" s="12"/>
      <c r="AA1259" s="12"/>
      <c r="AB1259" s="12"/>
      <c r="AC1259" s="12"/>
      <c r="AD1259" s="12"/>
      <c r="AE1259" s="12"/>
      <c r="AF1259" s="12"/>
      <c r="AG1259" s="12"/>
      <c r="AH1259" s="12"/>
      <c r="AI1259" s="12"/>
    </row>
    <row r="1260" spans="1:35" s="10" customFormat="1" x14ac:dyDescent="0.35">
      <c r="A1260" s="12"/>
      <c r="B1260" s="12"/>
      <c r="C1260" s="12"/>
      <c r="D1260" s="12"/>
      <c r="E1260" s="12"/>
      <c r="I1260" s="14"/>
      <c r="M1260" s="12"/>
      <c r="T1260" s="12"/>
      <c r="U1260" s="12"/>
      <c r="V1260" s="12"/>
      <c r="W1260" s="12"/>
      <c r="X1260" s="12"/>
      <c r="Y1260" s="12"/>
      <c r="Z1260" s="12"/>
      <c r="AA1260" s="12"/>
      <c r="AB1260" s="12"/>
      <c r="AC1260" s="12"/>
      <c r="AD1260" s="12"/>
      <c r="AE1260" s="12"/>
      <c r="AF1260" s="12"/>
      <c r="AG1260" s="12"/>
      <c r="AH1260" s="12"/>
      <c r="AI1260" s="12"/>
    </row>
    <row r="1261" spans="1:35" s="10" customFormat="1" x14ac:dyDescent="0.35">
      <c r="A1261" s="12"/>
      <c r="B1261" s="12"/>
      <c r="C1261" s="12"/>
      <c r="D1261" s="12"/>
      <c r="E1261" s="12"/>
      <c r="I1261" s="14"/>
      <c r="M1261" s="12"/>
      <c r="T1261" s="12"/>
      <c r="U1261" s="12"/>
      <c r="V1261" s="12"/>
      <c r="W1261" s="12"/>
      <c r="X1261" s="12"/>
      <c r="Y1261" s="12"/>
      <c r="Z1261" s="12"/>
      <c r="AA1261" s="12"/>
      <c r="AB1261" s="12"/>
      <c r="AC1261" s="12"/>
      <c r="AD1261" s="12"/>
      <c r="AE1261" s="12"/>
      <c r="AF1261" s="12"/>
      <c r="AG1261" s="12"/>
      <c r="AH1261" s="12"/>
      <c r="AI1261" s="12"/>
    </row>
    <row r="1262" spans="1:35" s="10" customFormat="1" x14ac:dyDescent="0.35">
      <c r="A1262" s="12"/>
      <c r="B1262" s="12"/>
      <c r="C1262" s="12"/>
      <c r="D1262" s="12"/>
      <c r="E1262" s="12"/>
      <c r="I1262" s="14"/>
      <c r="M1262" s="12"/>
      <c r="T1262" s="12"/>
      <c r="U1262" s="12"/>
      <c r="V1262" s="12"/>
      <c r="W1262" s="12"/>
      <c r="X1262" s="12"/>
      <c r="Y1262" s="12"/>
      <c r="Z1262" s="12"/>
      <c r="AA1262" s="12"/>
      <c r="AB1262" s="12"/>
      <c r="AC1262" s="12"/>
      <c r="AD1262" s="12"/>
      <c r="AE1262" s="12"/>
      <c r="AF1262" s="12"/>
      <c r="AG1262" s="12"/>
      <c r="AH1262" s="12"/>
      <c r="AI1262" s="12"/>
    </row>
    <row r="1263" spans="1:35" s="10" customFormat="1" x14ac:dyDescent="0.35">
      <c r="A1263" s="12"/>
      <c r="B1263" s="12"/>
      <c r="C1263" s="12"/>
      <c r="D1263" s="12"/>
      <c r="E1263" s="12"/>
      <c r="I1263" s="14"/>
      <c r="M1263" s="12"/>
      <c r="T1263" s="12"/>
      <c r="U1263" s="12"/>
      <c r="V1263" s="12"/>
      <c r="W1263" s="12"/>
      <c r="X1263" s="12"/>
      <c r="Y1263" s="12"/>
      <c r="Z1263" s="12"/>
      <c r="AA1263" s="12"/>
      <c r="AB1263" s="12"/>
      <c r="AC1263" s="12"/>
      <c r="AD1263" s="12"/>
      <c r="AE1263" s="12"/>
      <c r="AF1263" s="12"/>
      <c r="AG1263" s="12"/>
      <c r="AH1263" s="12"/>
      <c r="AI1263" s="12"/>
    </row>
    <row r="1264" spans="1:35" s="10" customFormat="1" x14ac:dyDescent="0.35">
      <c r="A1264" s="12"/>
      <c r="B1264" s="12"/>
      <c r="C1264" s="12"/>
      <c r="D1264" s="12"/>
      <c r="E1264" s="12"/>
      <c r="I1264" s="14"/>
      <c r="M1264" s="12"/>
      <c r="T1264" s="12"/>
      <c r="U1264" s="12"/>
      <c r="V1264" s="12"/>
      <c r="W1264" s="12"/>
      <c r="X1264" s="12"/>
      <c r="Y1264" s="12"/>
      <c r="Z1264" s="12"/>
      <c r="AA1264" s="12"/>
      <c r="AB1264" s="12"/>
      <c r="AC1264" s="12"/>
      <c r="AD1264" s="12"/>
      <c r="AE1264" s="12"/>
      <c r="AF1264" s="12"/>
      <c r="AG1264" s="12"/>
      <c r="AH1264" s="12"/>
      <c r="AI1264" s="12"/>
    </row>
    <row r="1265" spans="1:35" s="10" customFormat="1" x14ac:dyDescent="0.35">
      <c r="A1265" s="12"/>
      <c r="B1265" s="12"/>
      <c r="C1265" s="12"/>
      <c r="D1265" s="12"/>
      <c r="E1265" s="12"/>
      <c r="I1265" s="14"/>
      <c r="M1265" s="12"/>
      <c r="T1265" s="12"/>
      <c r="U1265" s="12"/>
      <c r="V1265" s="12"/>
      <c r="W1265" s="12"/>
      <c r="X1265" s="12"/>
      <c r="Y1265" s="12"/>
      <c r="Z1265" s="12"/>
      <c r="AA1265" s="12"/>
      <c r="AB1265" s="12"/>
      <c r="AC1265" s="12"/>
      <c r="AD1265" s="12"/>
      <c r="AE1265" s="12"/>
      <c r="AF1265" s="12"/>
      <c r="AG1265" s="12"/>
      <c r="AH1265" s="12"/>
      <c r="AI1265" s="12"/>
    </row>
    <row r="1266" spans="1:35" s="10" customFormat="1" x14ac:dyDescent="0.35">
      <c r="A1266" s="12"/>
      <c r="B1266" s="12"/>
      <c r="C1266" s="12"/>
      <c r="D1266" s="12"/>
      <c r="E1266" s="12"/>
      <c r="I1266" s="14"/>
      <c r="M1266" s="12"/>
      <c r="T1266" s="12"/>
      <c r="U1266" s="12"/>
      <c r="V1266" s="12"/>
      <c r="W1266" s="12"/>
      <c r="X1266" s="12"/>
      <c r="Y1266" s="12"/>
      <c r="Z1266" s="12"/>
      <c r="AA1266" s="12"/>
      <c r="AB1266" s="12"/>
      <c r="AC1266" s="12"/>
      <c r="AD1266" s="12"/>
      <c r="AE1266" s="12"/>
      <c r="AF1266" s="12"/>
      <c r="AG1266" s="12"/>
      <c r="AH1266" s="12"/>
      <c r="AI1266" s="12"/>
    </row>
    <row r="1267" spans="1:35" s="10" customFormat="1" x14ac:dyDescent="0.35">
      <c r="A1267" s="12"/>
      <c r="B1267" s="12"/>
      <c r="C1267" s="12"/>
      <c r="D1267" s="12"/>
      <c r="E1267" s="12"/>
      <c r="I1267" s="14"/>
      <c r="M1267" s="12"/>
      <c r="T1267" s="12"/>
      <c r="U1267" s="12"/>
      <c r="V1267" s="12"/>
      <c r="W1267" s="12"/>
      <c r="X1267" s="12"/>
      <c r="Y1267" s="12"/>
      <c r="Z1267" s="12"/>
      <c r="AA1267" s="12"/>
      <c r="AB1267" s="12"/>
      <c r="AC1267" s="12"/>
      <c r="AD1267" s="12"/>
      <c r="AE1267" s="12"/>
      <c r="AF1267" s="12"/>
      <c r="AG1267" s="12"/>
      <c r="AH1267" s="12"/>
      <c r="AI1267" s="12"/>
    </row>
    <row r="1268" spans="1:35" s="10" customFormat="1" x14ac:dyDescent="0.35">
      <c r="A1268" s="12"/>
      <c r="B1268" s="12"/>
      <c r="C1268" s="12"/>
      <c r="D1268" s="12"/>
      <c r="E1268" s="12"/>
      <c r="I1268" s="14"/>
      <c r="M1268" s="12"/>
      <c r="T1268" s="12"/>
      <c r="U1268" s="12"/>
      <c r="V1268" s="12"/>
      <c r="W1268" s="12"/>
      <c r="X1268" s="12"/>
      <c r="Y1268" s="12"/>
      <c r="Z1268" s="12"/>
      <c r="AA1268" s="12"/>
      <c r="AB1268" s="12"/>
      <c r="AC1268" s="12"/>
      <c r="AD1268" s="12"/>
      <c r="AE1268" s="12"/>
      <c r="AF1268" s="12"/>
      <c r="AG1268" s="12"/>
      <c r="AH1268" s="12"/>
      <c r="AI1268" s="12"/>
    </row>
    <row r="1269" spans="1:35" s="10" customFormat="1" x14ac:dyDescent="0.35">
      <c r="A1269" s="12"/>
      <c r="B1269" s="12"/>
      <c r="C1269" s="12"/>
      <c r="D1269" s="12"/>
      <c r="E1269" s="12"/>
      <c r="I1269" s="14"/>
      <c r="M1269" s="12"/>
      <c r="T1269" s="12"/>
      <c r="U1269" s="12"/>
      <c r="V1269" s="12"/>
      <c r="W1269" s="12"/>
      <c r="X1269" s="12"/>
      <c r="Y1269" s="12"/>
      <c r="Z1269" s="12"/>
      <c r="AA1269" s="12"/>
      <c r="AB1269" s="12"/>
      <c r="AC1269" s="12"/>
      <c r="AD1269" s="12"/>
      <c r="AE1269" s="12"/>
      <c r="AF1269" s="12"/>
      <c r="AG1269" s="12"/>
      <c r="AH1269" s="12"/>
      <c r="AI1269" s="12"/>
    </row>
    <row r="1270" spans="1:35" s="10" customFormat="1" x14ac:dyDescent="0.35">
      <c r="A1270" s="12"/>
      <c r="B1270" s="12"/>
      <c r="C1270" s="12"/>
      <c r="D1270" s="12"/>
      <c r="E1270" s="12"/>
      <c r="I1270" s="14"/>
      <c r="M1270" s="12"/>
      <c r="T1270" s="12"/>
      <c r="U1270" s="12"/>
      <c r="V1270" s="12"/>
      <c r="W1270" s="12"/>
      <c r="X1270" s="12"/>
      <c r="Y1270" s="12"/>
      <c r="Z1270" s="12"/>
      <c r="AA1270" s="12"/>
      <c r="AB1270" s="12"/>
      <c r="AC1270" s="12"/>
      <c r="AD1270" s="12"/>
      <c r="AE1270" s="12"/>
      <c r="AF1270" s="12"/>
      <c r="AG1270" s="12"/>
      <c r="AH1270" s="12"/>
      <c r="AI1270" s="12"/>
    </row>
    <row r="1271" spans="1:35" s="10" customFormat="1" x14ac:dyDescent="0.35">
      <c r="A1271" s="12"/>
      <c r="B1271" s="12"/>
      <c r="C1271" s="12"/>
      <c r="D1271" s="12"/>
      <c r="E1271" s="12"/>
      <c r="I1271" s="14"/>
      <c r="M1271" s="12"/>
      <c r="T1271" s="12"/>
      <c r="U1271" s="12"/>
      <c r="V1271" s="12"/>
      <c r="W1271" s="12"/>
      <c r="X1271" s="12"/>
      <c r="Y1271" s="12"/>
      <c r="Z1271" s="12"/>
      <c r="AA1271" s="12"/>
      <c r="AB1271" s="12"/>
      <c r="AC1271" s="12"/>
      <c r="AD1271" s="12"/>
      <c r="AE1271" s="12"/>
      <c r="AF1271" s="12"/>
      <c r="AG1271" s="12"/>
      <c r="AH1271" s="12"/>
      <c r="AI1271" s="12"/>
    </row>
    <row r="1272" spans="1:35" s="10" customFormat="1" x14ac:dyDescent="0.35">
      <c r="A1272" s="12"/>
      <c r="B1272" s="12"/>
      <c r="C1272" s="12"/>
      <c r="D1272" s="12"/>
      <c r="E1272" s="12"/>
      <c r="I1272" s="14"/>
      <c r="M1272" s="12"/>
      <c r="T1272" s="12"/>
      <c r="U1272" s="12"/>
      <c r="V1272" s="12"/>
      <c r="W1272" s="12"/>
      <c r="X1272" s="12"/>
      <c r="Y1272" s="12"/>
      <c r="Z1272" s="12"/>
      <c r="AA1272" s="12"/>
      <c r="AB1272" s="12"/>
      <c r="AC1272" s="12"/>
      <c r="AD1272" s="12"/>
      <c r="AE1272" s="12"/>
      <c r="AF1272" s="12"/>
      <c r="AG1272" s="12"/>
      <c r="AH1272" s="12"/>
      <c r="AI1272" s="12"/>
    </row>
    <row r="1273" spans="1:35" s="10" customFormat="1" x14ac:dyDescent="0.35">
      <c r="A1273" s="12"/>
      <c r="B1273" s="12"/>
      <c r="C1273" s="12"/>
      <c r="D1273" s="12"/>
      <c r="E1273" s="12"/>
      <c r="I1273" s="14"/>
      <c r="M1273" s="12"/>
      <c r="T1273" s="12"/>
      <c r="U1273" s="12"/>
      <c r="V1273" s="12"/>
      <c r="W1273" s="12"/>
      <c r="X1273" s="12"/>
      <c r="Y1273" s="12"/>
      <c r="Z1273" s="12"/>
      <c r="AA1273" s="12"/>
      <c r="AB1273" s="12"/>
      <c r="AC1273" s="12"/>
      <c r="AD1273" s="12"/>
      <c r="AE1273" s="12"/>
      <c r="AF1273" s="12"/>
      <c r="AG1273" s="12"/>
      <c r="AH1273" s="12"/>
      <c r="AI1273" s="12"/>
    </row>
    <row r="1274" spans="1:35" s="10" customFormat="1" x14ac:dyDescent="0.35">
      <c r="A1274" s="12"/>
      <c r="B1274" s="12"/>
      <c r="C1274" s="12"/>
      <c r="D1274" s="12"/>
      <c r="E1274" s="12"/>
      <c r="I1274" s="14"/>
      <c r="M1274" s="12"/>
      <c r="T1274" s="12"/>
      <c r="U1274" s="12"/>
      <c r="V1274" s="12"/>
      <c r="W1274" s="12"/>
      <c r="X1274" s="12"/>
      <c r="Y1274" s="12"/>
      <c r="Z1274" s="12"/>
      <c r="AA1274" s="12"/>
      <c r="AB1274" s="12"/>
      <c r="AC1274" s="12"/>
      <c r="AD1274" s="12"/>
      <c r="AE1274" s="12"/>
      <c r="AF1274" s="12"/>
      <c r="AG1274" s="12"/>
      <c r="AH1274" s="12"/>
      <c r="AI1274" s="12"/>
    </row>
    <row r="1275" spans="1:35" s="10" customFormat="1" x14ac:dyDescent="0.35">
      <c r="A1275" s="12"/>
      <c r="B1275" s="12"/>
      <c r="C1275" s="12"/>
      <c r="D1275" s="12"/>
      <c r="E1275" s="12"/>
      <c r="I1275" s="14"/>
      <c r="M1275" s="12"/>
      <c r="T1275" s="12"/>
      <c r="U1275" s="12"/>
      <c r="V1275" s="12"/>
      <c r="W1275" s="12"/>
      <c r="X1275" s="12"/>
      <c r="Y1275" s="12"/>
      <c r="Z1275" s="12"/>
      <c r="AA1275" s="12"/>
      <c r="AB1275" s="12"/>
      <c r="AC1275" s="12"/>
      <c r="AD1275" s="12"/>
      <c r="AE1275" s="12"/>
      <c r="AF1275" s="12"/>
      <c r="AG1275" s="12"/>
      <c r="AH1275" s="12"/>
      <c r="AI1275" s="12"/>
    </row>
    <row r="1276" spans="1:35" s="10" customFormat="1" x14ac:dyDescent="0.35">
      <c r="A1276" s="12"/>
      <c r="B1276" s="12"/>
      <c r="C1276" s="12"/>
      <c r="D1276" s="12"/>
      <c r="E1276" s="12"/>
      <c r="I1276" s="14"/>
      <c r="M1276" s="12"/>
      <c r="T1276" s="12"/>
      <c r="U1276" s="12"/>
      <c r="V1276" s="12"/>
      <c r="W1276" s="12"/>
      <c r="X1276" s="12"/>
      <c r="Y1276" s="12"/>
      <c r="Z1276" s="12"/>
      <c r="AA1276" s="12"/>
      <c r="AB1276" s="12"/>
      <c r="AC1276" s="12"/>
      <c r="AD1276" s="12"/>
      <c r="AE1276" s="12"/>
      <c r="AF1276" s="12"/>
      <c r="AG1276" s="12"/>
      <c r="AH1276" s="12"/>
      <c r="AI1276" s="12"/>
    </row>
    <row r="1277" spans="1:35" s="10" customFormat="1" x14ac:dyDescent="0.35">
      <c r="A1277" s="12"/>
      <c r="B1277" s="12"/>
      <c r="C1277" s="12"/>
      <c r="D1277" s="12"/>
      <c r="E1277" s="12"/>
      <c r="I1277" s="14"/>
      <c r="M1277" s="12"/>
      <c r="T1277" s="12"/>
      <c r="U1277" s="12"/>
      <c r="V1277" s="12"/>
      <c r="W1277" s="12"/>
      <c r="X1277" s="12"/>
      <c r="Y1277" s="12"/>
      <c r="Z1277" s="12"/>
      <c r="AA1277" s="12"/>
      <c r="AB1277" s="12"/>
      <c r="AC1277" s="12"/>
      <c r="AD1277" s="12"/>
      <c r="AE1277" s="12"/>
      <c r="AF1277" s="12"/>
      <c r="AG1277" s="12"/>
      <c r="AH1277" s="12"/>
      <c r="AI1277" s="12"/>
    </row>
    <row r="1278" spans="1:35" s="10" customFormat="1" x14ac:dyDescent="0.35">
      <c r="A1278" s="12"/>
      <c r="B1278" s="12"/>
      <c r="C1278" s="12"/>
      <c r="D1278" s="12"/>
      <c r="E1278" s="12"/>
      <c r="I1278" s="14"/>
      <c r="M1278" s="12"/>
      <c r="T1278" s="12"/>
      <c r="U1278" s="12"/>
      <c r="V1278" s="12"/>
      <c r="W1278" s="12"/>
      <c r="X1278" s="12"/>
      <c r="Y1278" s="12"/>
      <c r="Z1278" s="12"/>
      <c r="AA1278" s="12"/>
      <c r="AB1278" s="12"/>
      <c r="AC1278" s="12"/>
      <c r="AD1278" s="12"/>
      <c r="AE1278" s="12"/>
      <c r="AF1278" s="12"/>
      <c r="AG1278" s="12"/>
      <c r="AH1278" s="12"/>
      <c r="AI1278" s="12"/>
    </row>
    <row r="1279" spans="1:35" s="10" customFormat="1" x14ac:dyDescent="0.35">
      <c r="A1279" s="12"/>
      <c r="B1279" s="12"/>
      <c r="C1279" s="12"/>
      <c r="D1279" s="12"/>
      <c r="E1279" s="12"/>
      <c r="I1279" s="14"/>
      <c r="M1279" s="12"/>
      <c r="T1279" s="12"/>
      <c r="U1279" s="12"/>
      <c r="V1279" s="12"/>
      <c r="W1279" s="12"/>
      <c r="X1279" s="12"/>
      <c r="Y1279" s="12"/>
      <c r="Z1279" s="12"/>
      <c r="AA1279" s="12"/>
      <c r="AB1279" s="12"/>
      <c r="AC1279" s="12"/>
      <c r="AD1279" s="12"/>
      <c r="AE1279" s="12"/>
      <c r="AF1279" s="12"/>
      <c r="AG1279" s="12"/>
      <c r="AH1279" s="12"/>
      <c r="AI1279" s="12"/>
    </row>
    <row r="1280" spans="1:35" s="10" customFormat="1" x14ac:dyDescent="0.35">
      <c r="A1280" s="12"/>
      <c r="B1280" s="12"/>
      <c r="C1280" s="12"/>
      <c r="D1280" s="12"/>
      <c r="E1280" s="12"/>
      <c r="I1280" s="14"/>
      <c r="M1280" s="12"/>
      <c r="T1280" s="12"/>
      <c r="U1280" s="12"/>
      <c r="V1280" s="12"/>
      <c r="W1280" s="12"/>
      <c r="X1280" s="12"/>
      <c r="Y1280" s="12"/>
      <c r="Z1280" s="12"/>
      <c r="AA1280" s="12"/>
      <c r="AB1280" s="12"/>
      <c r="AC1280" s="12"/>
      <c r="AD1280" s="12"/>
      <c r="AE1280" s="12"/>
      <c r="AF1280" s="12"/>
      <c r="AG1280" s="12"/>
      <c r="AH1280" s="12"/>
      <c r="AI1280" s="12"/>
    </row>
    <row r="1281" spans="1:35" s="10" customFormat="1" x14ac:dyDescent="0.35">
      <c r="A1281" s="12"/>
      <c r="B1281" s="12"/>
      <c r="C1281" s="12"/>
      <c r="D1281" s="12"/>
      <c r="E1281" s="12"/>
      <c r="I1281" s="14"/>
      <c r="M1281" s="12"/>
      <c r="T1281" s="12"/>
      <c r="U1281" s="12"/>
      <c r="V1281" s="12"/>
      <c r="W1281" s="12"/>
      <c r="X1281" s="12"/>
      <c r="Y1281" s="12"/>
      <c r="Z1281" s="12"/>
      <c r="AA1281" s="12"/>
      <c r="AB1281" s="12"/>
      <c r="AC1281" s="12"/>
      <c r="AD1281" s="12"/>
      <c r="AE1281" s="12"/>
      <c r="AF1281" s="12"/>
      <c r="AG1281" s="12"/>
      <c r="AH1281" s="12"/>
      <c r="AI1281" s="12"/>
    </row>
    <row r="1282" spans="1:35" s="10" customFormat="1" x14ac:dyDescent="0.35">
      <c r="A1282" s="12"/>
      <c r="B1282" s="12"/>
      <c r="C1282" s="12"/>
      <c r="D1282" s="12"/>
      <c r="E1282" s="12"/>
      <c r="I1282" s="14"/>
      <c r="M1282" s="12"/>
      <c r="T1282" s="12"/>
      <c r="U1282" s="12"/>
      <c r="V1282" s="12"/>
      <c r="W1282" s="12"/>
      <c r="X1282" s="12"/>
      <c r="Y1282" s="12"/>
      <c r="Z1282" s="12"/>
      <c r="AA1282" s="12"/>
      <c r="AB1282" s="12"/>
      <c r="AC1282" s="12"/>
      <c r="AD1282" s="12"/>
      <c r="AE1282" s="12"/>
      <c r="AF1282" s="12"/>
      <c r="AG1282" s="12"/>
      <c r="AH1282" s="12"/>
      <c r="AI1282" s="12"/>
    </row>
    <row r="1283" spans="1:35" s="10" customFormat="1" x14ac:dyDescent="0.35">
      <c r="A1283" s="12"/>
      <c r="B1283" s="12"/>
      <c r="C1283" s="12"/>
      <c r="D1283" s="12"/>
      <c r="E1283" s="12"/>
      <c r="I1283" s="14"/>
      <c r="M1283" s="12"/>
      <c r="T1283" s="12"/>
      <c r="U1283" s="12"/>
      <c r="V1283" s="12"/>
      <c r="W1283" s="12"/>
      <c r="X1283" s="12"/>
      <c r="Y1283" s="12"/>
      <c r="Z1283" s="12"/>
      <c r="AA1283" s="12"/>
      <c r="AB1283" s="12"/>
      <c r="AC1283" s="12"/>
      <c r="AD1283" s="12"/>
      <c r="AE1283" s="12"/>
      <c r="AF1283" s="12"/>
      <c r="AG1283" s="12"/>
      <c r="AH1283" s="12"/>
      <c r="AI1283" s="12"/>
    </row>
    <row r="1284" spans="1:35" s="10" customFormat="1" x14ac:dyDescent="0.35">
      <c r="A1284" s="12"/>
      <c r="B1284" s="12"/>
      <c r="C1284" s="12"/>
      <c r="D1284" s="12"/>
      <c r="E1284" s="12"/>
      <c r="I1284" s="14"/>
      <c r="M1284" s="12"/>
      <c r="T1284" s="12"/>
      <c r="U1284" s="12"/>
      <c r="V1284" s="12"/>
      <c r="W1284" s="12"/>
      <c r="X1284" s="12"/>
      <c r="Y1284" s="12"/>
      <c r="Z1284" s="12"/>
      <c r="AA1284" s="12"/>
      <c r="AB1284" s="12"/>
      <c r="AC1284" s="12"/>
      <c r="AD1284" s="12"/>
      <c r="AE1284" s="12"/>
      <c r="AF1284" s="12"/>
      <c r="AG1284" s="12"/>
      <c r="AH1284" s="12"/>
      <c r="AI1284" s="12"/>
    </row>
    <row r="1285" spans="1:35" s="10" customFormat="1" x14ac:dyDescent="0.35">
      <c r="A1285" s="12"/>
      <c r="B1285" s="12"/>
      <c r="C1285" s="12"/>
      <c r="D1285" s="12"/>
      <c r="E1285" s="12"/>
      <c r="I1285" s="14"/>
      <c r="M1285" s="12"/>
      <c r="T1285" s="12"/>
      <c r="U1285" s="12"/>
      <c r="V1285" s="12"/>
      <c r="W1285" s="12"/>
      <c r="X1285" s="12"/>
      <c r="Y1285" s="12"/>
      <c r="Z1285" s="12"/>
      <c r="AA1285" s="12"/>
      <c r="AB1285" s="12"/>
      <c r="AC1285" s="12"/>
      <c r="AD1285" s="12"/>
      <c r="AE1285" s="12"/>
      <c r="AF1285" s="12"/>
      <c r="AG1285" s="12"/>
      <c r="AH1285" s="12"/>
      <c r="AI1285" s="12"/>
    </row>
    <row r="1286" spans="1:35" s="10" customFormat="1" x14ac:dyDescent="0.35">
      <c r="A1286" s="12"/>
      <c r="B1286" s="12"/>
      <c r="C1286" s="12"/>
      <c r="D1286" s="12"/>
      <c r="E1286" s="12"/>
      <c r="I1286" s="14"/>
      <c r="M1286" s="12"/>
      <c r="T1286" s="12"/>
      <c r="U1286" s="12"/>
      <c r="V1286" s="12"/>
      <c r="W1286" s="12"/>
      <c r="X1286" s="12"/>
      <c r="Y1286" s="12"/>
      <c r="Z1286" s="12"/>
      <c r="AA1286" s="12"/>
      <c r="AB1286" s="12"/>
      <c r="AC1286" s="12"/>
      <c r="AD1286" s="12"/>
      <c r="AE1286" s="12"/>
      <c r="AF1286" s="12"/>
      <c r="AG1286" s="12"/>
      <c r="AH1286" s="12"/>
      <c r="AI1286" s="12"/>
    </row>
    <row r="1287" spans="1:35" s="10" customFormat="1" x14ac:dyDescent="0.35">
      <c r="A1287" s="12"/>
      <c r="B1287" s="12"/>
      <c r="C1287" s="12"/>
      <c r="D1287" s="12"/>
      <c r="E1287" s="12"/>
      <c r="I1287" s="14"/>
      <c r="M1287" s="12"/>
      <c r="T1287" s="12"/>
      <c r="U1287" s="12"/>
      <c r="V1287" s="12"/>
      <c r="W1287" s="12"/>
      <c r="X1287" s="12"/>
      <c r="Y1287" s="12"/>
      <c r="Z1287" s="12"/>
      <c r="AA1287" s="12"/>
      <c r="AB1287" s="12"/>
      <c r="AC1287" s="12"/>
      <c r="AD1287" s="12"/>
      <c r="AE1287" s="12"/>
      <c r="AF1287" s="12"/>
      <c r="AG1287" s="12"/>
      <c r="AH1287" s="12"/>
      <c r="AI1287" s="12"/>
    </row>
    <row r="1288" spans="1:35" s="10" customFormat="1" x14ac:dyDescent="0.35">
      <c r="A1288" s="12"/>
      <c r="B1288" s="12"/>
      <c r="C1288" s="12"/>
      <c r="D1288" s="12"/>
      <c r="E1288" s="12"/>
      <c r="I1288" s="14"/>
      <c r="M1288" s="12"/>
      <c r="T1288" s="12"/>
      <c r="U1288" s="12"/>
      <c r="V1288" s="12"/>
      <c r="W1288" s="12"/>
      <c r="X1288" s="12"/>
      <c r="Y1288" s="12"/>
      <c r="Z1288" s="12"/>
      <c r="AA1288" s="12"/>
      <c r="AB1288" s="12"/>
      <c r="AC1288" s="12"/>
      <c r="AD1288" s="12"/>
      <c r="AE1288" s="12"/>
      <c r="AF1288" s="12"/>
      <c r="AG1288" s="12"/>
      <c r="AH1288" s="12"/>
      <c r="AI1288" s="12"/>
    </row>
    <row r="1289" spans="1:35" s="10" customFormat="1" x14ac:dyDescent="0.35">
      <c r="A1289" s="12"/>
      <c r="B1289" s="12"/>
      <c r="C1289" s="12"/>
      <c r="D1289" s="12"/>
      <c r="E1289" s="12"/>
      <c r="I1289" s="14"/>
      <c r="M1289" s="12"/>
      <c r="T1289" s="12"/>
      <c r="U1289" s="12"/>
      <c r="V1289" s="12"/>
      <c r="W1289" s="12"/>
      <c r="X1289" s="12"/>
      <c r="Y1289" s="12"/>
      <c r="Z1289" s="12"/>
      <c r="AA1289" s="12"/>
      <c r="AB1289" s="12"/>
      <c r="AC1289" s="12"/>
      <c r="AD1289" s="12"/>
      <c r="AE1289" s="12"/>
      <c r="AF1289" s="12"/>
      <c r="AG1289" s="12"/>
      <c r="AH1289" s="12"/>
      <c r="AI1289" s="12"/>
    </row>
    <row r="1290" spans="1:35" s="10" customFormat="1" x14ac:dyDescent="0.35">
      <c r="A1290" s="12"/>
      <c r="B1290" s="12"/>
      <c r="C1290" s="12"/>
      <c r="D1290" s="12"/>
      <c r="E1290" s="12"/>
      <c r="I1290" s="14"/>
      <c r="M1290" s="12"/>
      <c r="T1290" s="12"/>
      <c r="U1290" s="12"/>
      <c r="V1290" s="12"/>
      <c r="W1290" s="12"/>
      <c r="X1290" s="12"/>
      <c r="Y1290" s="12"/>
      <c r="Z1290" s="12"/>
      <c r="AA1290" s="12"/>
      <c r="AB1290" s="12"/>
      <c r="AC1290" s="12"/>
      <c r="AD1290" s="12"/>
      <c r="AE1290" s="12"/>
      <c r="AF1290" s="12"/>
      <c r="AG1290" s="12"/>
      <c r="AH1290" s="12"/>
      <c r="AI1290" s="12"/>
    </row>
    <row r="1291" spans="1:35" s="10" customFormat="1" x14ac:dyDescent="0.35">
      <c r="A1291" s="12"/>
      <c r="B1291" s="12"/>
      <c r="C1291" s="12"/>
      <c r="D1291" s="12"/>
      <c r="E1291" s="12"/>
      <c r="I1291" s="14"/>
      <c r="M1291" s="12"/>
      <c r="T1291" s="12"/>
      <c r="U1291" s="12"/>
      <c r="V1291" s="12"/>
      <c r="W1291" s="12"/>
      <c r="X1291" s="12"/>
      <c r="Y1291" s="12"/>
      <c r="Z1291" s="12"/>
      <c r="AA1291" s="12"/>
      <c r="AB1291" s="12"/>
      <c r="AC1291" s="12"/>
      <c r="AD1291" s="12"/>
      <c r="AE1291" s="12"/>
      <c r="AF1291" s="12"/>
      <c r="AG1291" s="12"/>
      <c r="AH1291" s="12"/>
      <c r="AI1291" s="12"/>
    </row>
    <row r="1292" spans="1:35" s="10" customFormat="1" x14ac:dyDescent="0.35">
      <c r="A1292" s="12"/>
      <c r="B1292" s="12"/>
      <c r="C1292" s="12"/>
      <c r="D1292" s="12"/>
      <c r="E1292" s="12"/>
      <c r="I1292" s="14"/>
      <c r="M1292" s="12"/>
      <c r="T1292" s="12"/>
      <c r="U1292" s="12"/>
      <c r="V1292" s="12"/>
      <c r="W1292" s="12"/>
      <c r="X1292" s="12"/>
      <c r="Y1292" s="12"/>
      <c r="Z1292" s="12"/>
      <c r="AA1292" s="12"/>
      <c r="AB1292" s="12"/>
      <c r="AC1292" s="12"/>
      <c r="AD1292" s="12"/>
      <c r="AE1292" s="12"/>
      <c r="AF1292" s="12"/>
      <c r="AG1292" s="12"/>
      <c r="AH1292" s="12"/>
      <c r="AI1292" s="12"/>
    </row>
    <row r="1293" spans="1:35" s="10" customFormat="1" x14ac:dyDescent="0.35">
      <c r="A1293" s="12"/>
      <c r="B1293" s="12"/>
      <c r="C1293" s="12"/>
      <c r="D1293" s="12"/>
      <c r="E1293" s="12"/>
      <c r="I1293" s="14"/>
      <c r="M1293" s="12"/>
      <c r="T1293" s="12"/>
      <c r="U1293" s="12"/>
      <c r="V1293" s="12"/>
      <c r="W1293" s="12"/>
      <c r="X1293" s="12"/>
      <c r="Y1293" s="12"/>
      <c r="Z1293" s="12"/>
      <c r="AA1293" s="12"/>
      <c r="AB1293" s="12"/>
      <c r="AC1293" s="12"/>
      <c r="AD1293" s="12"/>
      <c r="AE1293" s="12"/>
      <c r="AF1293" s="12"/>
      <c r="AG1293" s="12"/>
      <c r="AH1293" s="12"/>
      <c r="AI1293" s="12"/>
    </row>
    <row r="1294" spans="1:35" s="10" customFormat="1" x14ac:dyDescent="0.35">
      <c r="A1294" s="12"/>
      <c r="B1294" s="12"/>
      <c r="C1294" s="12"/>
      <c r="D1294" s="12"/>
      <c r="E1294" s="12"/>
      <c r="I1294" s="14"/>
      <c r="M1294" s="12"/>
      <c r="T1294" s="12"/>
      <c r="U1294" s="12"/>
      <c r="V1294" s="12"/>
      <c r="W1294" s="12"/>
      <c r="X1294" s="12"/>
      <c r="Y1294" s="12"/>
      <c r="Z1294" s="12"/>
      <c r="AA1294" s="12"/>
      <c r="AB1294" s="12"/>
      <c r="AC1294" s="12"/>
      <c r="AD1294" s="12"/>
      <c r="AE1294" s="12"/>
      <c r="AF1294" s="12"/>
      <c r="AG1294" s="12"/>
      <c r="AH1294" s="12"/>
      <c r="AI1294" s="12"/>
    </row>
    <row r="1295" spans="1:35" s="10" customFormat="1" x14ac:dyDescent="0.35">
      <c r="A1295" s="12"/>
      <c r="B1295" s="12"/>
      <c r="C1295" s="12"/>
      <c r="D1295" s="12"/>
      <c r="E1295" s="12"/>
      <c r="I1295" s="14"/>
      <c r="M1295" s="12"/>
      <c r="T1295" s="12"/>
      <c r="U1295" s="12"/>
      <c r="V1295" s="12"/>
      <c r="W1295" s="12"/>
      <c r="X1295" s="12"/>
      <c r="Y1295" s="12"/>
      <c r="Z1295" s="12"/>
      <c r="AA1295" s="12"/>
      <c r="AB1295" s="12"/>
      <c r="AC1295" s="12"/>
      <c r="AD1295" s="12"/>
      <c r="AE1295" s="12"/>
      <c r="AF1295" s="12"/>
      <c r="AG1295" s="12"/>
      <c r="AH1295" s="12"/>
      <c r="AI1295" s="12"/>
    </row>
    <row r="1296" spans="1:35" s="10" customFormat="1" x14ac:dyDescent="0.35">
      <c r="A1296" s="12"/>
      <c r="B1296" s="12"/>
      <c r="C1296" s="12"/>
      <c r="D1296" s="12"/>
      <c r="E1296" s="12"/>
      <c r="I1296" s="14"/>
      <c r="M1296" s="12"/>
      <c r="T1296" s="12"/>
      <c r="U1296" s="12"/>
      <c r="V1296" s="12"/>
      <c r="W1296" s="12"/>
      <c r="X1296" s="12"/>
      <c r="Y1296" s="12"/>
      <c r="Z1296" s="12"/>
      <c r="AA1296" s="12"/>
      <c r="AB1296" s="12"/>
      <c r="AC1296" s="12"/>
      <c r="AD1296" s="12"/>
      <c r="AE1296" s="12"/>
      <c r="AF1296" s="12"/>
      <c r="AG1296" s="12"/>
      <c r="AH1296" s="12"/>
      <c r="AI1296" s="12"/>
    </row>
    <row r="1297" spans="1:35" s="10" customFormat="1" x14ac:dyDescent="0.35">
      <c r="A1297" s="12"/>
      <c r="B1297" s="12"/>
      <c r="C1297" s="12"/>
      <c r="D1297" s="12"/>
      <c r="E1297" s="12"/>
      <c r="I1297" s="14"/>
      <c r="M1297" s="12"/>
      <c r="T1297" s="12"/>
      <c r="U1297" s="12"/>
      <c r="V1297" s="12"/>
      <c r="W1297" s="12"/>
      <c r="X1297" s="12"/>
      <c r="Y1297" s="12"/>
      <c r="Z1297" s="12"/>
      <c r="AA1297" s="12"/>
      <c r="AB1297" s="12"/>
      <c r="AC1297" s="12"/>
      <c r="AD1297" s="12"/>
      <c r="AE1297" s="12"/>
      <c r="AF1297" s="12"/>
      <c r="AG1297" s="12"/>
      <c r="AH1297" s="12"/>
      <c r="AI1297" s="12"/>
    </row>
    <row r="1298" spans="1:35" s="10" customFormat="1" x14ac:dyDescent="0.35">
      <c r="A1298" s="12"/>
      <c r="B1298" s="12"/>
      <c r="C1298" s="12"/>
      <c r="D1298" s="12"/>
      <c r="E1298" s="12"/>
      <c r="I1298" s="14"/>
      <c r="M1298" s="12"/>
      <c r="T1298" s="12"/>
      <c r="U1298" s="12"/>
      <c r="V1298" s="12"/>
      <c r="W1298" s="12"/>
      <c r="X1298" s="12"/>
      <c r="Y1298" s="12"/>
      <c r="Z1298" s="12"/>
      <c r="AA1298" s="12"/>
      <c r="AB1298" s="12"/>
      <c r="AC1298" s="12"/>
      <c r="AD1298" s="12"/>
      <c r="AE1298" s="12"/>
      <c r="AF1298" s="12"/>
      <c r="AG1298" s="12"/>
      <c r="AH1298" s="12"/>
      <c r="AI1298" s="12"/>
    </row>
    <row r="1299" spans="1:35" s="10" customFormat="1" x14ac:dyDescent="0.35">
      <c r="A1299" s="12"/>
      <c r="B1299" s="12"/>
      <c r="C1299" s="12"/>
      <c r="D1299" s="12"/>
      <c r="E1299" s="12"/>
      <c r="I1299" s="14"/>
      <c r="M1299" s="12"/>
      <c r="T1299" s="12"/>
      <c r="U1299" s="12"/>
      <c r="V1299" s="12"/>
      <c r="W1299" s="12"/>
      <c r="X1299" s="12"/>
      <c r="Y1299" s="12"/>
      <c r="Z1299" s="12"/>
      <c r="AA1299" s="12"/>
      <c r="AB1299" s="12"/>
      <c r="AC1299" s="12"/>
      <c r="AD1299" s="12"/>
      <c r="AE1299" s="12"/>
      <c r="AF1299" s="12"/>
      <c r="AG1299" s="12"/>
      <c r="AH1299" s="12"/>
      <c r="AI1299" s="12"/>
    </row>
    <row r="1300" spans="1:35" s="10" customFormat="1" x14ac:dyDescent="0.35">
      <c r="A1300" s="12"/>
      <c r="B1300" s="12"/>
      <c r="C1300" s="12"/>
      <c r="D1300" s="12"/>
      <c r="E1300" s="12"/>
      <c r="I1300" s="14"/>
      <c r="M1300" s="12"/>
      <c r="T1300" s="12"/>
      <c r="U1300" s="12"/>
      <c r="V1300" s="12"/>
      <c r="W1300" s="12"/>
      <c r="X1300" s="12"/>
      <c r="Y1300" s="12"/>
      <c r="Z1300" s="12"/>
      <c r="AA1300" s="12"/>
      <c r="AB1300" s="12"/>
      <c r="AC1300" s="12"/>
      <c r="AD1300" s="12"/>
      <c r="AE1300" s="12"/>
      <c r="AF1300" s="12"/>
      <c r="AG1300" s="12"/>
      <c r="AH1300" s="12"/>
      <c r="AI1300" s="12"/>
    </row>
    <row r="1301" spans="1:35" s="10" customFormat="1" x14ac:dyDescent="0.35">
      <c r="A1301" s="12"/>
      <c r="B1301" s="12"/>
      <c r="C1301" s="12"/>
      <c r="D1301" s="12"/>
      <c r="E1301" s="12"/>
      <c r="I1301" s="14"/>
      <c r="M1301" s="12"/>
      <c r="T1301" s="12"/>
      <c r="U1301" s="12"/>
      <c r="V1301" s="12"/>
      <c r="W1301" s="12"/>
      <c r="X1301" s="12"/>
      <c r="Y1301" s="12"/>
      <c r="Z1301" s="12"/>
      <c r="AA1301" s="12"/>
      <c r="AB1301" s="12"/>
      <c r="AC1301" s="12"/>
      <c r="AD1301" s="12"/>
      <c r="AE1301" s="12"/>
      <c r="AF1301" s="12"/>
      <c r="AG1301" s="12"/>
      <c r="AH1301" s="12"/>
      <c r="AI1301" s="12"/>
    </row>
    <row r="1302" spans="1:35" s="10" customFormat="1" x14ac:dyDescent="0.35">
      <c r="A1302" s="12"/>
      <c r="B1302" s="12"/>
      <c r="C1302" s="12"/>
      <c r="D1302" s="12"/>
      <c r="E1302" s="12"/>
      <c r="I1302" s="14"/>
      <c r="M1302" s="12"/>
      <c r="T1302" s="12"/>
      <c r="U1302" s="12"/>
      <c r="V1302" s="12"/>
      <c r="W1302" s="12"/>
      <c r="X1302" s="12"/>
      <c r="Y1302" s="12"/>
      <c r="Z1302" s="12"/>
      <c r="AA1302" s="12"/>
      <c r="AB1302" s="12"/>
      <c r="AC1302" s="12"/>
      <c r="AD1302" s="12"/>
      <c r="AE1302" s="12"/>
      <c r="AF1302" s="12"/>
      <c r="AG1302" s="12"/>
      <c r="AH1302" s="12"/>
      <c r="AI1302" s="12"/>
    </row>
    <row r="1303" spans="1:35" s="10" customFormat="1" x14ac:dyDescent="0.35">
      <c r="A1303" s="12"/>
      <c r="B1303" s="12"/>
      <c r="C1303" s="12"/>
      <c r="D1303" s="12"/>
      <c r="E1303" s="12"/>
      <c r="I1303" s="14"/>
      <c r="M1303" s="12"/>
      <c r="T1303" s="12"/>
      <c r="U1303" s="12"/>
      <c r="V1303" s="12"/>
      <c r="W1303" s="12"/>
      <c r="X1303" s="12"/>
      <c r="Y1303" s="12"/>
      <c r="Z1303" s="12"/>
      <c r="AA1303" s="12"/>
      <c r="AB1303" s="12"/>
      <c r="AC1303" s="12"/>
      <c r="AD1303" s="12"/>
      <c r="AE1303" s="12"/>
      <c r="AF1303" s="12"/>
      <c r="AG1303" s="12"/>
      <c r="AH1303" s="12"/>
      <c r="AI1303" s="12"/>
    </row>
    <row r="1304" spans="1:35" s="10" customFormat="1" x14ac:dyDescent="0.35">
      <c r="A1304" s="12"/>
      <c r="B1304" s="12"/>
      <c r="C1304" s="12"/>
      <c r="D1304" s="12"/>
      <c r="E1304" s="12"/>
      <c r="I1304" s="14"/>
      <c r="M1304" s="12"/>
      <c r="T1304" s="12"/>
      <c r="U1304" s="12"/>
      <c r="V1304" s="12"/>
      <c r="W1304" s="12"/>
      <c r="X1304" s="12"/>
      <c r="Y1304" s="12"/>
      <c r="Z1304" s="12"/>
      <c r="AA1304" s="12"/>
      <c r="AB1304" s="12"/>
      <c r="AC1304" s="12"/>
      <c r="AD1304" s="12"/>
      <c r="AE1304" s="12"/>
      <c r="AF1304" s="12"/>
      <c r="AG1304" s="12"/>
      <c r="AH1304" s="12"/>
      <c r="AI1304" s="12"/>
    </row>
    <row r="1305" spans="1:35" s="10" customFormat="1" x14ac:dyDescent="0.35">
      <c r="A1305" s="12"/>
      <c r="B1305" s="12"/>
      <c r="C1305" s="12"/>
      <c r="D1305" s="12"/>
      <c r="E1305" s="12"/>
      <c r="I1305" s="14"/>
      <c r="M1305" s="12"/>
      <c r="T1305" s="12"/>
      <c r="U1305" s="12"/>
      <c r="V1305" s="12"/>
      <c r="W1305" s="12"/>
      <c r="X1305" s="12"/>
      <c r="Y1305" s="12"/>
      <c r="Z1305" s="12"/>
      <c r="AA1305" s="12"/>
      <c r="AB1305" s="12"/>
      <c r="AC1305" s="12"/>
      <c r="AD1305" s="12"/>
      <c r="AE1305" s="12"/>
      <c r="AF1305" s="12"/>
      <c r="AG1305" s="12"/>
      <c r="AH1305" s="12"/>
      <c r="AI1305" s="12"/>
    </row>
    <row r="1306" spans="1:35" s="10" customFormat="1" x14ac:dyDescent="0.35">
      <c r="A1306" s="12"/>
      <c r="B1306" s="12"/>
      <c r="C1306" s="12"/>
      <c r="D1306" s="12"/>
      <c r="E1306" s="12"/>
      <c r="I1306" s="14"/>
      <c r="M1306" s="12"/>
      <c r="T1306" s="12"/>
      <c r="U1306" s="12"/>
      <c r="V1306" s="12"/>
      <c r="W1306" s="12"/>
      <c r="X1306" s="12"/>
      <c r="Y1306" s="12"/>
      <c r="Z1306" s="12"/>
      <c r="AA1306" s="12"/>
      <c r="AB1306" s="12"/>
      <c r="AC1306" s="12"/>
      <c r="AD1306" s="12"/>
      <c r="AE1306" s="12"/>
      <c r="AF1306" s="12"/>
      <c r="AG1306" s="12"/>
      <c r="AH1306" s="12"/>
      <c r="AI1306" s="12"/>
    </row>
    <row r="1307" spans="1:35" s="10" customFormat="1" x14ac:dyDescent="0.35">
      <c r="A1307" s="12"/>
      <c r="B1307" s="12"/>
      <c r="C1307" s="12"/>
      <c r="D1307" s="12"/>
      <c r="E1307" s="12"/>
      <c r="I1307" s="14"/>
      <c r="M1307" s="12"/>
      <c r="T1307" s="12"/>
      <c r="U1307" s="12"/>
      <c r="V1307" s="12"/>
      <c r="W1307" s="12"/>
      <c r="X1307" s="12"/>
      <c r="Y1307" s="12"/>
      <c r="Z1307" s="12"/>
      <c r="AA1307" s="12"/>
      <c r="AB1307" s="12"/>
      <c r="AC1307" s="12"/>
      <c r="AD1307" s="12"/>
      <c r="AE1307" s="12"/>
      <c r="AF1307" s="12"/>
      <c r="AG1307" s="12"/>
      <c r="AH1307" s="12"/>
      <c r="AI1307" s="12"/>
    </row>
    <row r="1308" spans="1:35" s="10" customFormat="1" x14ac:dyDescent="0.35">
      <c r="A1308" s="12"/>
      <c r="B1308" s="12"/>
      <c r="C1308" s="12"/>
      <c r="D1308" s="12"/>
      <c r="E1308" s="12"/>
      <c r="I1308" s="14"/>
      <c r="M1308" s="12"/>
      <c r="T1308" s="12"/>
      <c r="U1308" s="12"/>
      <c r="V1308" s="12"/>
      <c r="W1308" s="12"/>
      <c r="X1308" s="12"/>
      <c r="Y1308" s="12"/>
      <c r="Z1308" s="12"/>
      <c r="AA1308" s="12"/>
      <c r="AB1308" s="12"/>
      <c r="AC1308" s="12"/>
      <c r="AD1308" s="12"/>
      <c r="AE1308" s="12"/>
      <c r="AF1308" s="12"/>
      <c r="AG1308" s="12"/>
      <c r="AH1308" s="12"/>
      <c r="AI1308" s="12"/>
    </row>
    <row r="1309" spans="1:35" s="10" customFormat="1" x14ac:dyDescent="0.35">
      <c r="A1309" s="12"/>
      <c r="B1309" s="12"/>
      <c r="C1309" s="12"/>
      <c r="D1309" s="12"/>
      <c r="E1309" s="12"/>
      <c r="I1309" s="14"/>
      <c r="M1309" s="12"/>
      <c r="T1309" s="12"/>
      <c r="U1309" s="12"/>
      <c r="V1309" s="12"/>
      <c r="W1309" s="12"/>
      <c r="X1309" s="12"/>
      <c r="Y1309" s="12"/>
      <c r="Z1309" s="12"/>
      <c r="AA1309" s="12"/>
      <c r="AB1309" s="12"/>
      <c r="AC1309" s="12"/>
      <c r="AD1309" s="12"/>
      <c r="AE1309" s="12"/>
      <c r="AF1309" s="12"/>
      <c r="AG1309" s="12"/>
      <c r="AH1309" s="12"/>
      <c r="AI1309" s="12"/>
    </row>
    <row r="1310" spans="1:35" s="10" customFormat="1" x14ac:dyDescent="0.35">
      <c r="A1310" s="12"/>
      <c r="B1310" s="12"/>
      <c r="C1310" s="12"/>
      <c r="D1310" s="12"/>
      <c r="E1310" s="12"/>
      <c r="I1310" s="14"/>
      <c r="M1310" s="12"/>
      <c r="T1310" s="12"/>
      <c r="U1310" s="12"/>
      <c r="V1310" s="12"/>
      <c r="W1310" s="12"/>
      <c r="X1310" s="12"/>
      <c r="Y1310" s="12"/>
      <c r="Z1310" s="12"/>
      <c r="AA1310" s="12"/>
      <c r="AB1310" s="12"/>
      <c r="AC1310" s="12"/>
      <c r="AD1310" s="12"/>
      <c r="AE1310" s="12"/>
      <c r="AF1310" s="12"/>
      <c r="AG1310" s="12"/>
      <c r="AH1310" s="12"/>
      <c r="AI1310" s="12"/>
    </row>
    <row r="1311" spans="1:35" s="10" customFormat="1" x14ac:dyDescent="0.35">
      <c r="A1311" s="12"/>
      <c r="B1311" s="12"/>
      <c r="C1311" s="12"/>
      <c r="D1311" s="12"/>
      <c r="E1311" s="12"/>
      <c r="I1311" s="14"/>
      <c r="M1311" s="12"/>
      <c r="T1311" s="12"/>
      <c r="U1311" s="12"/>
      <c r="V1311" s="12"/>
      <c r="W1311" s="12"/>
      <c r="X1311" s="12"/>
      <c r="Y1311" s="12"/>
      <c r="Z1311" s="12"/>
      <c r="AA1311" s="12"/>
      <c r="AB1311" s="12"/>
      <c r="AC1311" s="12"/>
      <c r="AD1311" s="12"/>
      <c r="AE1311" s="12"/>
      <c r="AF1311" s="12"/>
      <c r="AG1311" s="12"/>
      <c r="AH1311" s="12"/>
      <c r="AI1311" s="12"/>
    </row>
    <row r="1312" spans="1:35" s="10" customFormat="1" x14ac:dyDescent="0.35">
      <c r="A1312" s="12"/>
      <c r="B1312" s="12"/>
      <c r="C1312" s="12"/>
      <c r="D1312" s="12"/>
      <c r="E1312" s="12"/>
      <c r="I1312" s="14"/>
      <c r="M1312" s="12"/>
      <c r="T1312" s="12"/>
      <c r="U1312" s="12"/>
      <c r="V1312" s="12"/>
      <c r="W1312" s="12"/>
      <c r="X1312" s="12"/>
      <c r="Y1312" s="12"/>
      <c r="Z1312" s="12"/>
      <c r="AA1312" s="12"/>
      <c r="AB1312" s="12"/>
      <c r="AC1312" s="12"/>
      <c r="AD1312" s="12"/>
      <c r="AE1312" s="12"/>
      <c r="AF1312" s="12"/>
      <c r="AG1312" s="12"/>
      <c r="AH1312" s="12"/>
      <c r="AI1312" s="12"/>
    </row>
    <row r="1313" spans="1:35" s="10" customFormat="1" x14ac:dyDescent="0.35">
      <c r="A1313" s="12"/>
      <c r="B1313" s="12"/>
      <c r="C1313" s="12"/>
      <c r="D1313" s="12"/>
      <c r="E1313" s="12"/>
      <c r="I1313" s="14"/>
      <c r="M1313" s="12"/>
      <c r="T1313" s="12"/>
      <c r="U1313" s="12"/>
      <c r="V1313" s="12"/>
      <c r="W1313" s="12"/>
      <c r="X1313" s="12"/>
      <c r="Y1313" s="12"/>
      <c r="Z1313" s="12"/>
      <c r="AA1313" s="12"/>
      <c r="AB1313" s="12"/>
      <c r="AC1313" s="12"/>
      <c r="AD1313" s="12"/>
      <c r="AE1313" s="12"/>
      <c r="AF1313" s="12"/>
      <c r="AG1313" s="12"/>
      <c r="AH1313" s="12"/>
      <c r="AI1313" s="12"/>
    </row>
    <row r="1314" spans="1:35" s="10" customFormat="1" x14ac:dyDescent="0.35">
      <c r="A1314" s="12"/>
      <c r="B1314" s="12"/>
      <c r="C1314" s="12"/>
      <c r="D1314" s="12"/>
      <c r="E1314" s="12"/>
      <c r="I1314" s="14"/>
      <c r="M1314" s="12"/>
      <c r="T1314" s="12"/>
      <c r="U1314" s="12"/>
      <c r="V1314" s="12"/>
      <c r="W1314" s="12"/>
      <c r="X1314" s="12"/>
      <c r="Y1314" s="12"/>
      <c r="Z1314" s="12"/>
      <c r="AA1314" s="12"/>
      <c r="AB1314" s="12"/>
      <c r="AC1314" s="12"/>
      <c r="AD1314" s="12"/>
      <c r="AE1314" s="12"/>
      <c r="AF1314" s="12"/>
      <c r="AG1314" s="12"/>
      <c r="AH1314" s="12"/>
      <c r="AI1314" s="12"/>
    </row>
    <row r="1315" spans="1:35" s="10" customFormat="1" x14ac:dyDescent="0.35">
      <c r="A1315" s="12"/>
      <c r="B1315" s="12"/>
      <c r="C1315" s="12"/>
      <c r="D1315" s="12"/>
      <c r="E1315" s="12"/>
      <c r="I1315" s="14"/>
      <c r="M1315" s="12"/>
      <c r="T1315" s="12"/>
      <c r="U1315" s="12"/>
      <c r="V1315" s="12"/>
      <c r="W1315" s="12"/>
      <c r="X1315" s="12"/>
      <c r="Y1315" s="12"/>
      <c r="Z1315" s="12"/>
      <c r="AA1315" s="12"/>
      <c r="AB1315" s="12"/>
      <c r="AC1315" s="12"/>
      <c r="AD1315" s="12"/>
      <c r="AE1315" s="12"/>
      <c r="AF1315" s="12"/>
      <c r="AG1315" s="12"/>
      <c r="AH1315" s="12"/>
      <c r="AI1315" s="12"/>
    </row>
    <row r="1316" spans="1:35" s="10" customFormat="1" x14ac:dyDescent="0.35">
      <c r="A1316" s="12"/>
      <c r="B1316" s="12"/>
      <c r="C1316" s="12"/>
      <c r="D1316" s="12"/>
      <c r="E1316" s="12"/>
      <c r="I1316" s="14"/>
      <c r="M1316" s="12"/>
      <c r="T1316" s="12"/>
      <c r="U1316" s="12"/>
      <c r="V1316" s="12"/>
      <c r="W1316" s="12"/>
      <c r="X1316" s="12"/>
      <c r="Y1316" s="12"/>
      <c r="Z1316" s="12"/>
      <c r="AA1316" s="12"/>
      <c r="AB1316" s="12"/>
      <c r="AC1316" s="12"/>
      <c r="AD1316" s="12"/>
      <c r="AE1316" s="12"/>
      <c r="AF1316" s="12"/>
      <c r="AG1316" s="12"/>
      <c r="AH1316" s="12"/>
      <c r="AI1316" s="12"/>
    </row>
    <row r="1317" spans="1:35" s="10" customFormat="1" x14ac:dyDescent="0.35">
      <c r="A1317" s="12"/>
      <c r="B1317" s="12"/>
      <c r="C1317" s="12"/>
      <c r="D1317" s="12"/>
      <c r="E1317" s="12"/>
      <c r="I1317" s="14"/>
      <c r="M1317" s="12"/>
      <c r="T1317" s="12"/>
      <c r="U1317" s="12"/>
      <c r="V1317" s="12"/>
      <c r="W1317" s="12"/>
      <c r="X1317" s="12"/>
      <c r="Y1317" s="12"/>
      <c r="Z1317" s="12"/>
      <c r="AA1317" s="12"/>
      <c r="AB1317" s="12"/>
      <c r="AC1317" s="12"/>
      <c r="AD1317" s="12"/>
      <c r="AE1317" s="12"/>
      <c r="AF1317" s="12"/>
      <c r="AG1317" s="12"/>
      <c r="AH1317" s="12"/>
      <c r="AI1317" s="12"/>
    </row>
    <row r="1318" spans="1:35" s="10" customFormat="1" x14ac:dyDescent="0.35">
      <c r="A1318" s="12"/>
      <c r="B1318" s="12"/>
      <c r="C1318" s="12"/>
      <c r="D1318" s="12"/>
      <c r="E1318" s="12"/>
      <c r="I1318" s="14"/>
      <c r="M1318" s="12"/>
      <c r="T1318" s="12"/>
      <c r="U1318" s="12"/>
      <c r="V1318" s="12"/>
      <c r="W1318" s="12"/>
      <c r="X1318" s="12"/>
      <c r="Y1318" s="12"/>
      <c r="Z1318" s="12"/>
      <c r="AA1318" s="12"/>
      <c r="AB1318" s="12"/>
      <c r="AC1318" s="12"/>
      <c r="AD1318" s="12"/>
      <c r="AE1318" s="12"/>
      <c r="AF1318" s="12"/>
      <c r="AG1318" s="12"/>
      <c r="AH1318" s="12"/>
      <c r="AI1318" s="12"/>
    </row>
    <row r="1319" spans="1:35" s="10" customFormat="1" x14ac:dyDescent="0.35">
      <c r="A1319" s="12"/>
      <c r="B1319" s="12"/>
      <c r="C1319" s="12"/>
      <c r="D1319" s="12"/>
      <c r="E1319" s="12"/>
      <c r="I1319" s="14"/>
      <c r="M1319" s="12"/>
      <c r="T1319" s="12"/>
      <c r="U1319" s="12"/>
      <c r="V1319" s="12"/>
      <c r="W1319" s="12"/>
      <c r="X1319" s="12"/>
      <c r="Y1319" s="12"/>
      <c r="Z1319" s="12"/>
      <c r="AA1319" s="12"/>
      <c r="AB1319" s="12"/>
      <c r="AC1319" s="12"/>
      <c r="AD1319" s="12"/>
      <c r="AE1319" s="12"/>
      <c r="AF1319" s="12"/>
      <c r="AG1319" s="12"/>
      <c r="AH1319" s="12"/>
      <c r="AI1319" s="12"/>
    </row>
    <row r="1320" spans="1:35" s="10" customFormat="1" x14ac:dyDescent="0.35">
      <c r="A1320" s="12"/>
      <c r="B1320" s="12"/>
      <c r="C1320" s="12"/>
      <c r="D1320" s="12"/>
      <c r="E1320" s="12"/>
      <c r="I1320" s="14"/>
      <c r="M1320" s="12"/>
      <c r="T1320" s="12"/>
      <c r="U1320" s="12"/>
      <c r="V1320" s="12"/>
      <c r="W1320" s="12"/>
      <c r="X1320" s="12"/>
      <c r="Y1320" s="12"/>
      <c r="Z1320" s="12"/>
      <c r="AA1320" s="12"/>
      <c r="AB1320" s="12"/>
      <c r="AC1320" s="12"/>
      <c r="AD1320" s="12"/>
      <c r="AE1320" s="12"/>
      <c r="AF1320" s="12"/>
      <c r="AG1320" s="12"/>
      <c r="AH1320" s="12"/>
      <c r="AI1320" s="12"/>
    </row>
    <row r="1321" spans="1:35" s="10" customFormat="1" x14ac:dyDescent="0.35">
      <c r="A1321" s="12"/>
      <c r="B1321" s="12"/>
      <c r="C1321" s="12"/>
      <c r="D1321" s="12"/>
      <c r="E1321" s="12"/>
      <c r="I1321" s="14"/>
      <c r="M1321" s="12"/>
      <c r="T1321" s="12"/>
      <c r="U1321" s="12"/>
      <c r="V1321" s="12"/>
      <c r="W1321" s="12"/>
      <c r="X1321" s="12"/>
      <c r="Y1321" s="12"/>
      <c r="Z1321" s="12"/>
      <c r="AA1321" s="12"/>
      <c r="AB1321" s="12"/>
      <c r="AC1321" s="12"/>
      <c r="AD1321" s="12"/>
      <c r="AE1321" s="12"/>
      <c r="AF1321" s="12"/>
      <c r="AG1321" s="12"/>
      <c r="AH1321" s="12"/>
      <c r="AI1321" s="12"/>
    </row>
    <row r="1322" spans="1:35" s="10" customFormat="1" x14ac:dyDescent="0.35">
      <c r="A1322" s="12"/>
      <c r="B1322" s="12"/>
      <c r="C1322" s="12"/>
      <c r="D1322" s="12"/>
      <c r="E1322" s="12"/>
      <c r="I1322" s="14"/>
      <c r="M1322" s="12"/>
      <c r="T1322" s="12"/>
      <c r="U1322" s="12"/>
      <c r="V1322" s="12"/>
      <c r="W1322" s="12"/>
      <c r="X1322" s="12"/>
      <c r="Y1322" s="12"/>
      <c r="Z1322" s="12"/>
      <c r="AA1322" s="12"/>
      <c r="AB1322" s="12"/>
      <c r="AC1322" s="12"/>
      <c r="AD1322" s="12"/>
      <c r="AE1322" s="12"/>
      <c r="AF1322" s="12"/>
      <c r="AG1322" s="12"/>
      <c r="AH1322" s="12"/>
      <c r="AI1322" s="12"/>
    </row>
    <row r="1323" spans="1:35" s="10" customFormat="1" x14ac:dyDescent="0.35">
      <c r="A1323" s="12"/>
      <c r="B1323" s="12"/>
      <c r="C1323" s="12"/>
      <c r="D1323" s="12"/>
      <c r="E1323" s="12"/>
      <c r="I1323" s="14"/>
      <c r="M1323" s="12"/>
      <c r="T1323" s="12"/>
      <c r="U1323" s="12"/>
      <c r="V1323" s="12"/>
      <c r="W1323" s="12"/>
      <c r="X1323" s="12"/>
      <c r="Y1323" s="12"/>
      <c r="Z1323" s="12"/>
      <c r="AA1323" s="12"/>
      <c r="AB1323" s="12"/>
      <c r="AC1323" s="12"/>
      <c r="AD1323" s="12"/>
      <c r="AE1323" s="12"/>
      <c r="AF1323" s="12"/>
      <c r="AG1323" s="12"/>
      <c r="AH1323" s="12"/>
      <c r="AI1323" s="12"/>
    </row>
    <row r="1324" spans="1:35" s="10" customFormat="1" x14ac:dyDescent="0.35">
      <c r="A1324" s="12"/>
      <c r="B1324" s="12"/>
      <c r="C1324" s="12"/>
      <c r="D1324" s="12"/>
      <c r="E1324" s="12"/>
      <c r="I1324" s="14"/>
      <c r="M1324" s="12"/>
      <c r="T1324" s="12"/>
      <c r="U1324" s="12"/>
      <c r="V1324" s="12"/>
      <c r="W1324" s="12"/>
      <c r="X1324" s="12"/>
      <c r="Y1324" s="12"/>
      <c r="Z1324" s="12"/>
      <c r="AA1324" s="12"/>
      <c r="AB1324" s="12"/>
      <c r="AC1324" s="12"/>
      <c r="AD1324" s="12"/>
      <c r="AE1324" s="12"/>
      <c r="AF1324" s="12"/>
      <c r="AG1324" s="12"/>
      <c r="AH1324" s="12"/>
      <c r="AI1324" s="12"/>
    </row>
    <row r="1325" spans="1:35" s="10" customFormat="1" x14ac:dyDescent="0.35">
      <c r="A1325" s="12"/>
      <c r="B1325" s="12"/>
      <c r="C1325" s="12"/>
      <c r="D1325" s="12"/>
      <c r="E1325" s="12"/>
      <c r="I1325" s="14"/>
      <c r="M1325" s="12"/>
      <c r="T1325" s="12"/>
      <c r="U1325" s="12"/>
      <c r="V1325" s="12"/>
      <c r="W1325" s="12"/>
      <c r="X1325" s="12"/>
      <c r="Y1325" s="12"/>
      <c r="Z1325" s="12"/>
      <c r="AA1325" s="12"/>
      <c r="AB1325" s="12"/>
      <c r="AC1325" s="12"/>
      <c r="AD1325" s="12"/>
      <c r="AE1325" s="12"/>
      <c r="AF1325" s="12"/>
      <c r="AG1325" s="12"/>
      <c r="AH1325" s="12"/>
      <c r="AI1325" s="12"/>
    </row>
    <row r="1326" spans="1:35" s="10" customFormat="1" x14ac:dyDescent="0.35">
      <c r="A1326" s="12"/>
      <c r="B1326" s="12"/>
      <c r="C1326" s="12"/>
      <c r="D1326" s="12"/>
      <c r="E1326" s="12"/>
      <c r="I1326" s="14"/>
      <c r="M1326" s="12"/>
      <c r="T1326" s="12"/>
      <c r="U1326" s="12"/>
      <c r="V1326" s="12"/>
      <c r="W1326" s="12"/>
      <c r="X1326" s="12"/>
      <c r="Y1326" s="12"/>
      <c r="Z1326" s="12"/>
      <c r="AA1326" s="12"/>
      <c r="AB1326" s="12"/>
      <c r="AC1326" s="12"/>
      <c r="AD1326" s="12"/>
      <c r="AE1326" s="12"/>
      <c r="AF1326" s="12"/>
      <c r="AG1326" s="12"/>
      <c r="AH1326" s="12"/>
      <c r="AI1326" s="12"/>
    </row>
    <row r="1327" spans="1:35" s="10" customFormat="1" x14ac:dyDescent="0.35">
      <c r="A1327" s="12"/>
      <c r="B1327" s="12"/>
      <c r="C1327" s="12"/>
      <c r="D1327" s="12"/>
      <c r="E1327" s="12"/>
      <c r="I1327" s="14"/>
      <c r="M1327" s="12"/>
      <c r="T1327" s="12"/>
      <c r="U1327" s="12"/>
      <c r="V1327" s="12"/>
      <c r="W1327" s="12"/>
      <c r="X1327" s="12"/>
      <c r="Y1327" s="12"/>
      <c r="Z1327" s="12"/>
      <c r="AA1327" s="12"/>
      <c r="AB1327" s="12"/>
      <c r="AC1327" s="12"/>
      <c r="AD1327" s="12"/>
      <c r="AE1327" s="12"/>
      <c r="AF1327" s="12"/>
      <c r="AG1327" s="12"/>
      <c r="AH1327" s="12"/>
      <c r="AI1327" s="12"/>
    </row>
    <row r="1328" spans="1:35" s="10" customFormat="1" x14ac:dyDescent="0.35">
      <c r="A1328" s="12"/>
      <c r="B1328" s="12"/>
      <c r="C1328" s="12"/>
      <c r="D1328" s="12"/>
      <c r="E1328" s="12"/>
      <c r="I1328" s="14"/>
      <c r="M1328" s="12"/>
      <c r="T1328" s="12"/>
      <c r="U1328" s="12"/>
      <c r="V1328" s="12"/>
      <c r="W1328" s="12"/>
      <c r="X1328" s="12"/>
      <c r="Y1328" s="12"/>
      <c r="Z1328" s="12"/>
      <c r="AA1328" s="12"/>
      <c r="AB1328" s="12"/>
      <c r="AC1328" s="12"/>
      <c r="AD1328" s="12"/>
      <c r="AE1328" s="12"/>
      <c r="AF1328" s="12"/>
      <c r="AG1328" s="12"/>
      <c r="AH1328" s="12"/>
      <c r="AI1328" s="12"/>
    </row>
    <row r="1329" spans="1:35" s="10" customFormat="1" x14ac:dyDescent="0.35">
      <c r="A1329" s="12"/>
      <c r="B1329" s="12"/>
      <c r="C1329" s="12"/>
      <c r="D1329" s="12"/>
      <c r="E1329" s="12"/>
      <c r="I1329" s="14"/>
      <c r="M1329" s="12"/>
      <c r="T1329" s="12"/>
      <c r="U1329" s="12"/>
      <c r="V1329" s="12"/>
      <c r="W1329" s="12"/>
      <c r="X1329" s="12"/>
      <c r="Y1329" s="12"/>
      <c r="Z1329" s="12"/>
      <c r="AA1329" s="12"/>
      <c r="AB1329" s="12"/>
      <c r="AC1329" s="12"/>
      <c r="AD1329" s="12"/>
      <c r="AE1329" s="12"/>
      <c r="AF1329" s="12"/>
      <c r="AG1329" s="12"/>
      <c r="AH1329" s="12"/>
      <c r="AI1329" s="12"/>
    </row>
    <row r="1330" spans="1:35" s="10" customFormat="1" x14ac:dyDescent="0.35">
      <c r="A1330" s="12"/>
      <c r="B1330" s="12"/>
      <c r="C1330" s="12"/>
      <c r="D1330" s="12"/>
      <c r="E1330" s="12"/>
      <c r="I1330" s="14"/>
      <c r="M1330" s="12"/>
      <c r="T1330" s="12"/>
      <c r="U1330" s="12"/>
      <c r="V1330" s="12"/>
      <c r="W1330" s="12"/>
      <c r="X1330" s="12"/>
      <c r="Y1330" s="12"/>
      <c r="Z1330" s="12"/>
      <c r="AA1330" s="12"/>
      <c r="AB1330" s="12"/>
      <c r="AC1330" s="12"/>
      <c r="AD1330" s="12"/>
      <c r="AE1330" s="12"/>
      <c r="AF1330" s="12"/>
      <c r="AG1330" s="12"/>
      <c r="AH1330" s="12"/>
      <c r="AI1330" s="12"/>
    </row>
    <row r="1331" spans="1:35" s="10" customFormat="1" x14ac:dyDescent="0.35">
      <c r="A1331" s="12"/>
      <c r="B1331" s="12"/>
      <c r="C1331" s="12"/>
      <c r="D1331" s="12"/>
      <c r="E1331" s="12"/>
      <c r="I1331" s="14"/>
      <c r="M1331" s="12"/>
      <c r="T1331" s="12"/>
      <c r="U1331" s="12"/>
      <c r="V1331" s="12"/>
      <c r="W1331" s="12"/>
      <c r="X1331" s="12"/>
      <c r="Y1331" s="12"/>
      <c r="Z1331" s="12"/>
      <c r="AA1331" s="12"/>
      <c r="AB1331" s="12"/>
      <c r="AC1331" s="12"/>
      <c r="AD1331" s="12"/>
      <c r="AE1331" s="12"/>
      <c r="AF1331" s="12"/>
      <c r="AG1331" s="12"/>
      <c r="AH1331" s="12"/>
      <c r="AI1331" s="12"/>
    </row>
    <row r="1332" spans="1:35" s="10" customFormat="1" x14ac:dyDescent="0.35">
      <c r="A1332" s="12"/>
      <c r="B1332" s="12"/>
      <c r="C1332" s="12"/>
      <c r="D1332" s="12"/>
      <c r="E1332" s="12"/>
      <c r="I1332" s="14"/>
      <c r="M1332" s="12"/>
      <c r="T1332" s="12"/>
      <c r="U1332" s="12"/>
      <c r="V1332" s="12"/>
      <c r="W1332" s="12"/>
      <c r="X1332" s="12"/>
      <c r="Y1332" s="12"/>
      <c r="Z1332" s="12"/>
      <c r="AA1332" s="12"/>
      <c r="AB1332" s="12"/>
      <c r="AC1332" s="12"/>
      <c r="AD1332" s="12"/>
      <c r="AE1332" s="12"/>
      <c r="AF1332" s="12"/>
      <c r="AG1332" s="12"/>
      <c r="AH1332" s="12"/>
      <c r="AI1332" s="12"/>
    </row>
    <row r="1333" spans="1:35" s="10" customFormat="1" x14ac:dyDescent="0.35">
      <c r="A1333" s="12"/>
      <c r="B1333" s="12"/>
      <c r="C1333" s="12"/>
      <c r="D1333" s="12"/>
      <c r="E1333" s="12"/>
      <c r="I1333" s="14"/>
      <c r="M1333" s="12"/>
      <c r="T1333" s="12"/>
      <c r="U1333" s="12"/>
      <c r="V1333" s="12"/>
      <c r="W1333" s="12"/>
      <c r="X1333" s="12"/>
      <c r="Y1333" s="12"/>
      <c r="Z1333" s="12"/>
      <c r="AA1333" s="12"/>
      <c r="AB1333" s="12"/>
      <c r="AC1333" s="12"/>
      <c r="AD1333" s="12"/>
      <c r="AE1333" s="12"/>
      <c r="AF1333" s="12"/>
      <c r="AG1333" s="12"/>
      <c r="AH1333" s="12"/>
      <c r="AI1333" s="12"/>
    </row>
    <row r="1334" spans="1:35" s="10" customFormat="1" x14ac:dyDescent="0.35">
      <c r="A1334" s="12"/>
      <c r="B1334" s="12"/>
      <c r="C1334" s="12"/>
      <c r="D1334" s="12"/>
      <c r="E1334" s="12"/>
      <c r="I1334" s="14"/>
      <c r="M1334" s="12"/>
      <c r="T1334" s="12"/>
      <c r="U1334" s="12"/>
      <c r="V1334" s="12"/>
      <c r="W1334" s="12"/>
      <c r="X1334" s="12"/>
      <c r="Y1334" s="12"/>
      <c r="Z1334" s="12"/>
      <c r="AA1334" s="12"/>
      <c r="AB1334" s="12"/>
      <c r="AC1334" s="12"/>
      <c r="AD1334" s="12"/>
      <c r="AE1334" s="12"/>
      <c r="AF1334" s="12"/>
      <c r="AG1334" s="12"/>
      <c r="AH1334" s="12"/>
      <c r="AI1334" s="12"/>
    </row>
    <row r="1335" spans="1:35" s="10" customFormat="1" x14ac:dyDescent="0.35">
      <c r="A1335" s="12"/>
      <c r="B1335" s="12"/>
      <c r="C1335" s="12"/>
      <c r="D1335" s="12"/>
      <c r="E1335" s="12"/>
      <c r="I1335" s="14"/>
      <c r="M1335" s="12"/>
      <c r="T1335" s="12"/>
      <c r="U1335" s="12"/>
      <c r="V1335" s="12"/>
      <c r="W1335" s="12"/>
      <c r="X1335" s="12"/>
      <c r="Y1335" s="12"/>
      <c r="Z1335" s="12"/>
      <c r="AA1335" s="12"/>
      <c r="AB1335" s="12"/>
      <c r="AC1335" s="12"/>
      <c r="AD1335" s="12"/>
      <c r="AE1335" s="12"/>
      <c r="AF1335" s="12"/>
      <c r="AG1335" s="12"/>
      <c r="AH1335" s="12"/>
      <c r="AI1335" s="12"/>
    </row>
    <row r="1336" spans="1:35" s="10" customFormat="1" x14ac:dyDescent="0.35">
      <c r="A1336" s="12"/>
      <c r="B1336" s="12"/>
      <c r="C1336" s="12"/>
      <c r="D1336" s="12"/>
      <c r="E1336" s="12"/>
      <c r="I1336" s="14"/>
      <c r="M1336" s="12"/>
      <c r="T1336" s="12"/>
      <c r="U1336" s="12"/>
      <c r="V1336" s="12"/>
      <c r="W1336" s="12"/>
      <c r="X1336" s="12"/>
      <c r="Y1336" s="12"/>
      <c r="Z1336" s="12"/>
      <c r="AA1336" s="12"/>
      <c r="AB1336" s="12"/>
      <c r="AC1336" s="12"/>
      <c r="AD1336" s="12"/>
      <c r="AE1336" s="12"/>
      <c r="AF1336" s="12"/>
      <c r="AG1336" s="12"/>
      <c r="AH1336" s="12"/>
      <c r="AI1336" s="12"/>
    </row>
    <row r="1337" spans="1:35" s="10" customFormat="1" x14ac:dyDescent="0.35">
      <c r="A1337" s="12"/>
      <c r="B1337" s="12"/>
      <c r="C1337" s="12"/>
      <c r="D1337" s="12"/>
      <c r="E1337" s="12"/>
      <c r="I1337" s="14"/>
      <c r="M1337" s="12"/>
      <c r="T1337" s="12"/>
      <c r="U1337" s="12"/>
      <c r="V1337" s="12"/>
      <c r="W1337" s="12"/>
      <c r="X1337" s="12"/>
      <c r="Y1337" s="12"/>
      <c r="Z1337" s="12"/>
      <c r="AA1337" s="12"/>
      <c r="AB1337" s="12"/>
      <c r="AC1337" s="12"/>
      <c r="AD1337" s="12"/>
      <c r="AE1337" s="12"/>
      <c r="AF1337" s="12"/>
      <c r="AG1337" s="12"/>
      <c r="AH1337" s="12"/>
      <c r="AI1337" s="12"/>
    </row>
    <row r="1338" spans="1:35" s="10" customFormat="1" x14ac:dyDescent="0.35">
      <c r="A1338" s="12"/>
      <c r="B1338" s="12"/>
      <c r="C1338" s="12"/>
      <c r="D1338" s="12"/>
      <c r="E1338" s="12"/>
      <c r="I1338" s="14"/>
      <c r="M1338" s="12"/>
      <c r="T1338" s="12"/>
      <c r="U1338" s="12"/>
      <c r="V1338" s="12"/>
      <c r="W1338" s="12"/>
      <c r="X1338" s="12"/>
      <c r="Y1338" s="12"/>
      <c r="Z1338" s="12"/>
      <c r="AA1338" s="12"/>
      <c r="AB1338" s="12"/>
      <c r="AC1338" s="12"/>
      <c r="AD1338" s="12"/>
      <c r="AE1338" s="12"/>
      <c r="AF1338" s="12"/>
      <c r="AG1338" s="12"/>
      <c r="AH1338" s="12"/>
      <c r="AI1338" s="12"/>
    </row>
    <row r="1339" spans="1:35" s="10" customFormat="1" x14ac:dyDescent="0.35">
      <c r="A1339" s="12"/>
      <c r="B1339" s="12"/>
      <c r="C1339" s="12"/>
      <c r="D1339" s="12"/>
      <c r="E1339" s="12"/>
      <c r="I1339" s="14"/>
      <c r="M1339" s="12"/>
      <c r="T1339" s="12"/>
      <c r="U1339" s="12"/>
      <c r="V1339" s="12"/>
      <c r="W1339" s="12"/>
      <c r="X1339" s="12"/>
      <c r="Y1339" s="12"/>
      <c r="Z1339" s="12"/>
      <c r="AA1339" s="12"/>
      <c r="AB1339" s="12"/>
      <c r="AC1339" s="12"/>
      <c r="AD1339" s="12"/>
      <c r="AE1339" s="12"/>
      <c r="AF1339" s="12"/>
      <c r="AG1339" s="12"/>
      <c r="AH1339" s="12"/>
      <c r="AI1339" s="12"/>
    </row>
    <row r="1340" spans="1:35" s="10" customFormat="1" x14ac:dyDescent="0.35">
      <c r="A1340" s="12"/>
      <c r="B1340" s="12"/>
      <c r="C1340" s="12"/>
      <c r="D1340" s="12"/>
      <c r="E1340" s="12"/>
      <c r="I1340" s="14"/>
      <c r="M1340" s="12"/>
      <c r="T1340" s="12"/>
      <c r="U1340" s="12"/>
      <c r="V1340" s="12"/>
      <c r="W1340" s="12"/>
      <c r="X1340" s="12"/>
      <c r="Y1340" s="12"/>
      <c r="Z1340" s="12"/>
      <c r="AA1340" s="12"/>
      <c r="AB1340" s="12"/>
      <c r="AC1340" s="12"/>
      <c r="AD1340" s="12"/>
      <c r="AE1340" s="12"/>
      <c r="AF1340" s="12"/>
      <c r="AG1340" s="12"/>
      <c r="AH1340" s="12"/>
      <c r="AI1340" s="12"/>
    </row>
    <row r="1341" spans="1:35" s="10" customFormat="1" x14ac:dyDescent="0.35">
      <c r="A1341" s="12"/>
      <c r="B1341" s="12"/>
      <c r="C1341" s="12"/>
      <c r="D1341" s="12"/>
      <c r="E1341" s="12"/>
      <c r="I1341" s="14"/>
      <c r="M1341" s="12"/>
      <c r="T1341" s="12"/>
      <c r="U1341" s="12"/>
      <c r="V1341" s="12"/>
      <c r="W1341" s="12"/>
      <c r="X1341" s="12"/>
      <c r="Y1341" s="12"/>
      <c r="Z1341" s="12"/>
      <c r="AA1341" s="12"/>
      <c r="AB1341" s="12"/>
      <c r="AC1341" s="12"/>
      <c r="AD1341" s="12"/>
      <c r="AE1341" s="12"/>
      <c r="AF1341" s="12"/>
      <c r="AG1341" s="12"/>
      <c r="AH1341" s="12"/>
      <c r="AI1341" s="12"/>
    </row>
    <row r="1342" spans="1:35" s="10" customFormat="1" x14ac:dyDescent="0.35">
      <c r="A1342" s="12"/>
      <c r="B1342" s="12"/>
      <c r="C1342" s="12"/>
      <c r="D1342" s="12"/>
      <c r="E1342" s="12"/>
      <c r="I1342" s="14"/>
      <c r="M1342" s="12"/>
      <c r="T1342" s="12"/>
      <c r="U1342" s="12"/>
      <c r="V1342" s="12"/>
      <c r="W1342" s="12"/>
      <c r="X1342" s="12"/>
      <c r="Y1342" s="12"/>
      <c r="Z1342" s="12"/>
      <c r="AA1342" s="12"/>
      <c r="AB1342" s="12"/>
      <c r="AC1342" s="12"/>
      <c r="AD1342" s="12"/>
      <c r="AE1342" s="12"/>
      <c r="AF1342" s="12"/>
      <c r="AG1342" s="12"/>
      <c r="AH1342" s="12"/>
      <c r="AI1342" s="12"/>
    </row>
  </sheetData>
  <mergeCells count="20">
    <mergeCell ref="F16:F17"/>
    <mergeCell ref="G16:G17"/>
    <mergeCell ref="C16:C17"/>
    <mergeCell ref="B16:B17"/>
    <mergeCell ref="A16:A17"/>
    <mergeCell ref="D16:D17"/>
    <mergeCell ref="E16:E17"/>
    <mergeCell ref="T16:T17"/>
    <mergeCell ref="L16:L17"/>
    <mergeCell ref="H16:H17"/>
    <mergeCell ref="P16:P17"/>
    <mergeCell ref="S16:S17"/>
    <mergeCell ref="M16:M17"/>
    <mergeCell ref="N16:N17"/>
    <mergeCell ref="O16:O17"/>
    <mergeCell ref="I16:I17"/>
    <mergeCell ref="J16:J17"/>
    <mergeCell ref="K16:K17"/>
    <mergeCell ref="Q16:Q17"/>
    <mergeCell ref="R16:R17"/>
  </mergeCells>
  <phoneticPr fontId="7" type="noConversion"/>
  <pageMargins left="0.7" right="0.7" top="0.78740157499999996" bottom="0.78740157499999996" header="0.3" footer="0.3"/>
  <pageSetup paperSize="9" orientation="portrait" r:id="rId1"/>
  <drawing r:id="rId2"/>
  <legacyDrawing r:id="rId3"/>
  <controls>
    <mc:AlternateContent xmlns:mc="http://schemas.openxmlformats.org/markup-compatibility/2006">
      <mc:Choice Requires="x14">
        <control shapeId="22538" r:id="rId4" name="CommandButton3">
          <controlPr autoLine="0" r:id="rId5">
            <anchor moveWithCells="1">
              <from>
                <xdr:col>7</xdr:col>
                <xdr:colOff>336550</xdr:colOff>
                <xdr:row>9</xdr:row>
                <xdr:rowOff>12700</xdr:rowOff>
              </from>
              <to>
                <xdr:col>9</xdr:col>
                <xdr:colOff>1257300</xdr:colOff>
                <xdr:row>10</xdr:row>
                <xdr:rowOff>0</xdr:rowOff>
              </to>
            </anchor>
          </controlPr>
        </control>
      </mc:Choice>
      <mc:Fallback>
        <control shapeId="22538" r:id="rId4" name="CommandButton3"/>
      </mc:Fallback>
    </mc:AlternateContent>
    <mc:AlternateContent xmlns:mc="http://schemas.openxmlformats.org/markup-compatibility/2006">
      <mc:Choice Requires="x14">
        <control shapeId="22537" r:id="rId6" name="CommandButton2">
          <controlPr autoLine="0" r:id="rId7">
            <anchor moveWithCells="1">
              <from>
                <xdr:col>7</xdr:col>
                <xdr:colOff>336550</xdr:colOff>
                <xdr:row>7</xdr:row>
                <xdr:rowOff>12700</xdr:rowOff>
              </from>
              <to>
                <xdr:col>9</xdr:col>
                <xdr:colOff>1257300</xdr:colOff>
                <xdr:row>8</xdr:row>
                <xdr:rowOff>0</xdr:rowOff>
              </to>
            </anchor>
          </controlPr>
        </control>
      </mc:Choice>
      <mc:Fallback>
        <control shapeId="22537" r:id="rId6" name="CommandButton2"/>
      </mc:Fallback>
    </mc:AlternateContent>
    <mc:AlternateContent xmlns:mc="http://schemas.openxmlformats.org/markup-compatibility/2006">
      <mc:Choice Requires="x14">
        <control shapeId="22536" r:id="rId8" name="CommandButton8">
          <controlPr defaultSize="0" autoLine="0" r:id="rId9">
            <anchor moveWithCells="1">
              <from>
                <xdr:col>7</xdr:col>
                <xdr:colOff>342900</xdr:colOff>
                <xdr:row>2</xdr:row>
                <xdr:rowOff>0</xdr:rowOff>
              </from>
              <to>
                <xdr:col>9</xdr:col>
                <xdr:colOff>1257300</xdr:colOff>
                <xdr:row>3</xdr:row>
                <xdr:rowOff>31750</xdr:rowOff>
              </to>
            </anchor>
          </controlPr>
        </control>
      </mc:Choice>
      <mc:Fallback>
        <control shapeId="22536" r:id="rId8" name="CommandButton8"/>
      </mc:Fallback>
    </mc:AlternateContent>
    <mc:AlternateContent xmlns:mc="http://schemas.openxmlformats.org/markup-compatibility/2006">
      <mc:Choice Requires="x14">
        <control shapeId="22535" r:id="rId10" name="CommandButton7">
          <controlPr autoLine="0" autoPict="0" r:id="rId11">
            <anchor moveWithCells="1">
              <from>
                <xdr:col>7</xdr:col>
                <xdr:colOff>342900</xdr:colOff>
                <xdr:row>4</xdr:row>
                <xdr:rowOff>19050</xdr:rowOff>
              </from>
              <to>
                <xdr:col>9</xdr:col>
                <xdr:colOff>1295400</xdr:colOff>
                <xdr:row>5</xdr:row>
                <xdr:rowOff>19050</xdr:rowOff>
              </to>
            </anchor>
          </controlPr>
        </control>
      </mc:Choice>
      <mc:Fallback>
        <control shapeId="22535" r:id="rId10" name="CommandButton7"/>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List7"/>
  <dimension ref="C5:F168"/>
  <sheetViews>
    <sheetView workbookViewId="0">
      <selection activeCell="C16" sqref="C16"/>
    </sheetView>
  </sheetViews>
  <sheetFormatPr defaultRowHeight="14.5" x14ac:dyDescent="0.35"/>
  <cols>
    <col min="2" max="2" width="9.54296875" customWidth="1"/>
    <col min="3" max="3" width="11.54296875" style="3" customWidth="1"/>
    <col min="4" max="4" width="12.54296875" customWidth="1"/>
    <col min="5" max="5" width="22.81640625" customWidth="1"/>
    <col min="6" max="6" width="83.26953125" customWidth="1"/>
    <col min="10" max="10" width="18.54296875" bestFit="1" customWidth="1"/>
  </cols>
  <sheetData>
    <row r="5" spans="3:6" ht="21" x14ac:dyDescent="0.5">
      <c r="C5" s="1" t="s">
        <v>38</v>
      </c>
      <c r="D5" s="3"/>
    </row>
    <row r="6" spans="3:6" x14ac:dyDescent="0.35">
      <c r="D6" s="2"/>
    </row>
    <row r="7" spans="3:6" x14ac:dyDescent="0.35">
      <c r="D7" s="2"/>
    </row>
    <row r="8" spans="3:6" x14ac:dyDescent="0.35">
      <c r="D8" s="2"/>
    </row>
    <row r="9" spans="3:6" x14ac:dyDescent="0.35">
      <c r="D9" s="2"/>
    </row>
    <row r="10" spans="3:6" ht="15.5" x14ac:dyDescent="0.35">
      <c r="C10" s="4" t="s">
        <v>29</v>
      </c>
      <c r="D10" s="4" t="s">
        <v>3</v>
      </c>
      <c r="E10" s="4" t="s">
        <v>2</v>
      </c>
      <c r="F10" s="4" t="s">
        <v>4</v>
      </c>
    </row>
    <row r="11" spans="3:6" x14ac:dyDescent="0.35">
      <c r="C11" t="s">
        <v>32</v>
      </c>
      <c r="D11" s="3">
        <v>0</v>
      </c>
      <c r="E11" t="s">
        <v>23</v>
      </c>
      <c r="F11" t="s">
        <v>26</v>
      </c>
    </row>
    <row r="12" spans="3:6" x14ac:dyDescent="0.35">
      <c r="C12" t="s">
        <v>30</v>
      </c>
      <c r="D12" s="3">
        <v>1</v>
      </c>
      <c r="E12" t="s">
        <v>24</v>
      </c>
      <c r="F12" t="s">
        <v>27</v>
      </c>
    </row>
    <row r="13" spans="3:6" x14ac:dyDescent="0.35">
      <c r="C13" t="s">
        <v>31</v>
      </c>
      <c r="D13" s="3">
        <v>2</v>
      </c>
      <c r="E13" t="s">
        <v>25</v>
      </c>
      <c r="F13" t="s">
        <v>28</v>
      </c>
    </row>
    <row r="14" spans="3:6" x14ac:dyDescent="0.35">
      <c r="C14" t="s">
        <v>185</v>
      </c>
      <c r="D14" s="3">
        <v>3</v>
      </c>
      <c r="E14" t="s">
        <v>186</v>
      </c>
      <c r="F14" t="s">
        <v>187</v>
      </c>
    </row>
    <row r="15" spans="3:6" x14ac:dyDescent="0.35">
      <c r="C15" t="s">
        <v>183</v>
      </c>
      <c r="D15" s="3">
        <v>4</v>
      </c>
      <c r="E15" t="s">
        <v>184</v>
      </c>
      <c r="F15" t="s">
        <v>188</v>
      </c>
    </row>
    <row r="16" spans="3:6" x14ac:dyDescent="0.35">
      <c r="C16" t="s">
        <v>189</v>
      </c>
      <c r="D16" s="3">
        <v>5</v>
      </c>
      <c r="E16" t="s">
        <v>190</v>
      </c>
      <c r="F16" t="s">
        <v>191</v>
      </c>
    </row>
    <row r="17" spans="3:5" x14ac:dyDescent="0.35">
      <c r="C17" t="s">
        <v>242</v>
      </c>
      <c r="D17" s="3">
        <v>6</v>
      </c>
      <c r="E17" t="s">
        <v>87</v>
      </c>
    </row>
    <row r="18" spans="3:5" x14ac:dyDescent="0.35">
      <c r="C18" s="2"/>
      <c r="D18" s="3">
        <v>7</v>
      </c>
    </row>
    <row r="19" spans="3:5" x14ac:dyDescent="0.35">
      <c r="C19"/>
      <c r="D19" s="3">
        <v>8</v>
      </c>
    </row>
    <row r="20" spans="3:5" x14ac:dyDescent="0.35">
      <c r="C20"/>
      <c r="D20" s="3">
        <v>9</v>
      </c>
    </row>
    <row r="21" spans="3:5" x14ac:dyDescent="0.35">
      <c r="D21" s="3">
        <v>10</v>
      </c>
    </row>
    <row r="22" spans="3:5" x14ac:dyDescent="0.35">
      <c r="D22" s="3">
        <v>11</v>
      </c>
    </row>
    <row r="23" spans="3:5" x14ac:dyDescent="0.35">
      <c r="C23"/>
      <c r="D23" s="3">
        <v>12</v>
      </c>
    </row>
    <row r="24" spans="3:5" x14ac:dyDescent="0.35">
      <c r="C24" s="2"/>
      <c r="D24" s="3">
        <v>13</v>
      </c>
    </row>
    <row r="25" spans="3:5" x14ac:dyDescent="0.35">
      <c r="D25" s="3">
        <v>14</v>
      </c>
    </row>
    <row r="26" spans="3:5" x14ac:dyDescent="0.35">
      <c r="C26"/>
      <c r="D26" s="3">
        <v>15</v>
      </c>
    </row>
    <row r="27" spans="3:5" x14ac:dyDescent="0.35">
      <c r="C27"/>
      <c r="D27" s="3">
        <v>16</v>
      </c>
    </row>
    <row r="28" spans="3:5" x14ac:dyDescent="0.35">
      <c r="C28"/>
      <c r="D28" s="3">
        <v>17</v>
      </c>
    </row>
    <row r="29" spans="3:5" x14ac:dyDescent="0.35">
      <c r="C29"/>
      <c r="D29" s="3">
        <v>18</v>
      </c>
    </row>
    <row r="30" spans="3:5" x14ac:dyDescent="0.35">
      <c r="C30"/>
      <c r="D30" s="3">
        <v>19</v>
      </c>
    </row>
    <row r="31" spans="3:5" x14ac:dyDescent="0.35">
      <c r="C31"/>
      <c r="D31" s="3">
        <v>20</v>
      </c>
    </row>
    <row r="32" spans="3:5" x14ac:dyDescent="0.35">
      <c r="C32"/>
      <c r="D32" s="3">
        <v>21</v>
      </c>
    </row>
    <row r="33" spans="3:4" x14ac:dyDescent="0.35">
      <c r="C33"/>
      <c r="D33" s="3">
        <v>22</v>
      </c>
    </row>
    <row r="34" spans="3:4" x14ac:dyDescent="0.35">
      <c r="C34"/>
      <c r="D34" s="3">
        <v>23</v>
      </c>
    </row>
    <row r="35" spans="3:4" x14ac:dyDescent="0.35">
      <c r="C35"/>
      <c r="D35" s="3">
        <v>24</v>
      </c>
    </row>
    <row r="36" spans="3:4" x14ac:dyDescent="0.35">
      <c r="C36" s="2"/>
      <c r="D36" s="3">
        <v>25</v>
      </c>
    </row>
    <row r="37" spans="3:4" x14ac:dyDescent="0.35">
      <c r="C37"/>
      <c r="D37" s="3"/>
    </row>
    <row r="38" spans="3:4" x14ac:dyDescent="0.35">
      <c r="C38"/>
      <c r="D38" s="3"/>
    </row>
    <row r="39" spans="3:4" x14ac:dyDescent="0.35">
      <c r="C39"/>
      <c r="D39" s="3"/>
    </row>
    <row r="40" spans="3:4" x14ac:dyDescent="0.35">
      <c r="C40"/>
      <c r="D40" s="3"/>
    </row>
    <row r="41" spans="3:4" x14ac:dyDescent="0.35">
      <c r="C41"/>
      <c r="D41" s="3"/>
    </row>
    <row r="45" spans="3:4" ht="21" x14ac:dyDescent="0.5">
      <c r="C45" s="1" t="s">
        <v>53</v>
      </c>
      <c r="D45" s="3"/>
    </row>
    <row r="46" spans="3:4" x14ac:dyDescent="0.35">
      <c r="D46" s="2"/>
    </row>
    <row r="47" spans="3:4" x14ac:dyDescent="0.35">
      <c r="D47" s="2"/>
    </row>
    <row r="48" spans="3:4" x14ac:dyDescent="0.35">
      <c r="D48" s="2"/>
    </row>
    <row r="49" spans="3:6" x14ac:dyDescent="0.35">
      <c r="D49" s="2"/>
    </row>
    <row r="50" spans="3:6" ht="15.5" x14ac:dyDescent="0.35">
      <c r="C50" s="4" t="s">
        <v>29</v>
      </c>
      <c r="D50" s="4" t="s">
        <v>3</v>
      </c>
      <c r="E50" s="4" t="s">
        <v>2</v>
      </c>
      <c r="F50" s="4" t="s">
        <v>4</v>
      </c>
    </row>
    <row r="51" spans="3:6" x14ac:dyDescent="0.35">
      <c r="C51" t="s">
        <v>44</v>
      </c>
      <c r="D51" s="5">
        <v>0</v>
      </c>
      <c r="E51" t="s">
        <v>54</v>
      </c>
      <c r="F51" t="s">
        <v>90</v>
      </c>
    </row>
    <row r="52" spans="3:6" x14ac:dyDescent="0.35">
      <c r="C52" t="s">
        <v>48</v>
      </c>
      <c r="D52" s="5">
        <v>1</v>
      </c>
      <c r="E52" t="s">
        <v>55</v>
      </c>
      <c r="F52" t="s">
        <v>91</v>
      </c>
    </row>
    <row r="53" spans="3:6" x14ac:dyDescent="0.35">
      <c r="C53" t="s">
        <v>49</v>
      </c>
      <c r="D53" s="5">
        <v>2</v>
      </c>
      <c r="E53" t="s">
        <v>56</v>
      </c>
      <c r="F53" t="s">
        <v>98</v>
      </c>
    </row>
    <row r="54" spans="3:6" x14ac:dyDescent="0.35">
      <c r="C54" t="s">
        <v>116</v>
      </c>
      <c r="D54" s="5">
        <v>3</v>
      </c>
      <c r="E54" t="s">
        <v>57</v>
      </c>
      <c r="F54" t="s">
        <v>99</v>
      </c>
    </row>
    <row r="55" spans="3:6" x14ac:dyDescent="0.35">
      <c r="C55" t="s">
        <v>114</v>
      </c>
      <c r="D55" s="5">
        <v>5</v>
      </c>
      <c r="E55" t="s">
        <v>115</v>
      </c>
      <c r="F55" t="s">
        <v>120</v>
      </c>
    </row>
    <row r="56" spans="3:6" x14ac:dyDescent="0.35">
      <c r="C56"/>
      <c r="D56" s="7" t="s">
        <v>88</v>
      </c>
      <c r="E56" t="s">
        <v>89</v>
      </c>
      <c r="F56" t="s">
        <v>52</v>
      </c>
    </row>
    <row r="57" spans="3:6" x14ac:dyDescent="0.35">
      <c r="C57"/>
      <c r="D57" s="5"/>
    </row>
    <row r="58" spans="3:6" x14ac:dyDescent="0.35">
      <c r="C58"/>
      <c r="D58" s="5"/>
    </row>
    <row r="59" spans="3:6" x14ac:dyDescent="0.35">
      <c r="C59"/>
    </row>
    <row r="60" spans="3:6" x14ac:dyDescent="0.35">
      <c r="C60"/>
    </row>
    <row r="61" spans="3:6" x14ac:dyDescent="0.35">
      <c r="C61"/>
    </row>
    <row r="62" spans="3:6" x14ac:dyDescent="0.35">
      <c r="C62"/>
    </row>
    <row r="63" spans="3:6" ht="21" x14ac:dyDescent="0.5">
      <c r="C63" s="1" t="s">
        <v>58</v>
      </c>
      <c r="D63" s="3"/>
    </row>
    <row r="64" spans="3:6" x14ac:dyDescent="0.35">
      <c r="D64" s="2"/>
    </row>
    <row r="65" spans="3:6" x14ac:dyDescent="0.35">
      <c r="D65" s="2"/>
    </row>
    <row r="66" spans="3:6" x14ac:dyDescent="0.35">
      <c r="D66" s="2"/>
    </row>
    <row r="67" spans="3:6" x14ac:dyDescent="0.35">
      <c r="D67" s="2"/>
    </row>
    <row r="68" spans="3:6" ht="15.5" x14ac:dyDescent="0.35">
      <c r="C68" s="4" t="s">
        <v>29</v>
      </c>
      <c r="D68" s="4" t="s">
        <v>3</v>
      </c>
      <c r="E68" s="4" t="s">
        <v>2</v>
      </c>
      <c r="F68" s="4" t="s">
        <v>4</v>
      </c>
    </row>
    <row r="69" spans="3:6" x14ac:dyDescent="0.35">
      <c r="C69" t="s">
        <v>45</v>
      </c>
      <c r="D69" s="3">
        <v>0</v>
      </c>
      <c r="E69" t="s">
        <v>59</v>
      </c>
      <c r="F69" t="s">
        <v>92</v>
      </c>
    </row>
    <row r="70" spans="3:6" x14ac:dyDescent="0.35">
      <c r="C70" t="s">
        <v>51</v>
      </c>
      <c r="D70" s="3">
        <v>1</v>
      </c>
      <c r="E70" t="s">
        <v>60</v>
      </c>
      <c r="F70" t="s">
        <v>93</v>
      </c>
    </row>
    <row r="71" spans="3:6" x14ac:dyDescent="0.35">
      <c r="C71" t="s">
        <v>50</v>
      </c>
      <c r="D71" s="3">
        <v>2</v>
      </c>
      <c r="E71" t="s">
        <v>61</v>
      </c>
      <c r="F71" t="s">
        <v>94</v>
      </c>
    </row>
    <row r="72" spans="3:6" x14ac:dyDescent="0.35">
      <c r="C72" t="s">
        <v>47</v>
      </c>
      <c r="D72" s="3">
        <v>3</v>
      </c>
      <c r="E72" t="s">
        <v>62</v>
      </c>
      <c r="F72" t="s">
        <v>95</v>
      </c>
    </row>
    <row r="73" spans="3:6" x14ac:dyDescent="0.35">
      <c r="C73" t="s">
        <v>131</v>
      </c>
      <c r="D73" s="3">
        <v>3</v>
      </c>
      <c r="E73" t="s">
        <v>132</v>
      </c>
      <c r="F73" t="s">
        <v>133</v>
      </c>
    </row>
    <row r="74" spans="3:6" x14ac:dyDescent="0.35">
      <c r="C74"/>
      <c r="D74" s="6" t="s">
        <v>96</v>
      </c>
      <c r="E74" t="s">
        <v>89</v>
      </c>
      <c r="F74" t="s">
        <v>52</v>
      </c>
    </row>
    <row r="75" spans="3:6" x14ac:dyDescent="0.35">
      <c r="C75"/>
      <c r="D75" s="3"/>
    </row>
    <row r="76" spans="3:6" x14ac:dyDescent="0.35">
      <c r="C76"/>
      <c r="D76" s="3"/>
    </row>
    <row r="77" spans="3:6" x14ac:dyDescent="0.35">
      <c r="C77"/>
    </row>
    <row r="78" spans="3:6" x14ac:dyDescent="0.35">
      <c r="C78"/>
    </row>
    <row r="79" spans="3:6" x14ac:dyDescent="0.35">
      <c r="C79"/>
    </row>
    <row r="80" spans="3:6" x14ac:dyDescent="0.35">
      <c r="C80"/>
    </row>
    <row r="81" spans="3:6" ht="21" x14ac:dyDescent="0.5">
      <c r="C81" s="1"/>
      <c r="D81" s="3"/>
    </row>
    <row r="82" spans="3:6" x14ac:dyDescent="0.35">
      <c r="D82" s="2"/>
    </row>
    <row r="83" spans="3:6" x14ac:dyDescent="0.35">
      <c r="D83" s="2"/>
    </row>
    <row r="84" spans="3:6" x14ac:dyDescent="0.35">
      <c r="D84" s="2"/>
    </row>
    <row r="85" spans="3:6" x14ac:dyDescent="0.35">
      <c r="D85" s="2"/>
    </row>
    <row r="86" spans="3:6" ht="15.5" x14ac:dyDescent="0.35">
      <c r="C86" s="4"/>
      <c r="D86" s="4"/>
      <c r="E86" s="4"/>
      <c r="F86" s="4"/>
    </row>
    <row r="87" spans="3:6" x14ac:dyDescent="0.35">
      <c r="C87" s="5"/>
      <c r="D87" s="5"/>
    </row>
    <row r="88" spans="3:6" x14ac:dyDescent="0.35">
      <c r="C88" s="5"/>
      <c r="D88" s="5"/>
    </row>
    <row r="89" spans="3:6" x14ac:dyDescent="0.35">
      <c r="C89" s="5"/>
      <c r="D89" s="5"/>
    </row>
    <row r="90" spans="3:6" x14ac:dyDescent="0.35">
      <c r="C90" s="5"/>
      <c r="D90" s="5"/>
    </row>
    <row r="91" spans="3:6" x14ac:dyDescent="0.35">
      <c r="C91" s="5"/>
      <c r="D91" s="5"/>
    </row>
    <row r="92" spans="3:6" x14ac:dyDescent="0.35">
      <c r="C92" s="5"/>
      <c r="D92" s="5"/>
    </row>
    <row r="93" spans="3:6" x14ac:dyDescent="0.35">
      <c r="C93" s="5"/>
      <c r="D93" s="5"/>
    </row>
    <row r="94" spans="3:6" x14ac:dyDescent="0.35">
      <c r="C94" s="5"/>
      <c r="D94" s="5"/>
    </row>
    <row r="99" spans="3:6" ht="21" x14ac:dyDescent="0.5">
      <c r="C99" s="1" t="s">
        <v>69</v>
      </c>
      <c r="D99" s="3"/>
    </row>
    <row r="100" spans="3:6" x14ac:dyDescent="0.35">
      <c r="D100" s="2" t="s">
        <v>5</v>
      </c>
    </row>
    <row r="101" spans="3:6" x14ac:dyDescent="0.35">
      <c r="D101" s="2" t="s">
        <v>6</v>
      </c>
    </row>
    <row r="102" spans="3:6" x14ac:dyDescent="0.35">
      <c r="D102" s="2" t="s">
        <v>7</v>
      </c>
    </row>
    <row r="103" spans="3:6" x14ac:dyDescent="0.35">
      <c r="D103" s="2"/>
    </row>
    <row r="104" spans="3:6" ht="15.5" x14ac:dyDescent="0.35">
      <c r="C104" s="4" t="s">
        <v>29</v>
      </c>
      <c r="D104" s="4" t="s">
        <v>3</v>
      </c>
      <c r="E104" s="4" t="s">
        <v>2</v>
      </c>
      <c r="F104" s="4" t="s">
        <v>4</v>
      </c>
    </row>
    <row r="105" spans="3:6" x14ac:dyDescent="0.35">
      <c r="C105" s="5" t="s">
        <v>70</v>
      </c>
      <c r="D105" s="3">
        <v>0</v>
      </c>
      <c r="E105" t="s">
        <v>75</v>
      </c>
      <c r="F105" t="s">
        <v>76</v>
      </c>
    </row>
    <row r="106" spans="3:6" x14ac:dyDescent="0.35">
      <c r="C106" s="5" t="s">
        <v>86</v>
      </c>
      <c r="D106" s="3">
        <v>1</v>
      </c>
      <c r="E106" t="s">
        <v>77</v>
      </c>
      <c r="F106" t="s">
        <v>78</v>
      </c>
    </row>
    <row r="107" spans="3:6" x14ac:dyDescent="0.35">
      <c r="C107" s="5" t="s">
        <v>87</v>
      </c>
      <c r="D107" s="3">
        <v>2</v>
      </c>
      <c r="E107" t="s">
        <v>79</v>
      </c>
      <c r="F107" t="s">
        <v>97</v>
      </c>
    </row>
    <row r="108" spans="3:6" x14ac:dyDescent="0.35">
      <c r="C108" s="5" t="s">
        <v>23</v>
      </c>
      <c r="D108" s="3">
        <v>3</v>
      </c>
      <c r="E108" t="s">
        <v>68</v>
      </c>
      <c r="F108" t="s">
        <v>84</v>
      </c>
    </row>
    <row r="109" spans="3:6" x14ac:dyDescent="0.35">
      <c r="C109" s="5" t="s">
        <v>71</v>
      </c>
      <c r="D109" s="3">
        <v>4</v>
      </c>
      <c r="E109" t="s">
        <v>64</v>
      </c>
      <c r="F109" t="s">
        <v>80</v>
      </c>
    </row>
    <row r="110" spans="3:6" x14ac:dyDescent="0.35">
      <c r="C110" s="5" t="s">
        <v>72</v>
      </c>
      <c r="D110" s="3">
        <v>5</v>
      </c>
      <c r="E110" t="s">
        <v>65</v>
      </c>
      <c r="F110" t="s">
        <v>81</v>
      </c>
    </row>
    <row r="111" spans="3:6" x14ac:dyDescent="0.35">
      <c r="C111" s="5" t="s">
        <v>73</v>
      </c>
      <c r="D111" s="3">
        <v>6</v>
      </c>
      <c r="E111" t="s">
        <v>66</v>
      </c>
      <c r="F111" t="s">
        <v>82</v>
      </c>
    </row>
    <row r="112" spans="3:6" x14ac:dyDescent="0.35">
      <c r="C112" s="5" t="s">
        <v>74</v>
      </c>
      <c r="D112" s="3">
        <v>7</v>
      </c>
      <c r="E112" t="s">
        <v>67</v>
      </c>
      <c r="F112" t="s">
        <v>83</v>
      </c>
    </row>
    <row r="113" spans="3:6" x14ac:dyDescent="0.35">
      <c r="D113" s="6" t="s">
        <v>40</v>
      </c>
      <c r="E113" t="s">
        <v>85</v>
      </c>
      <c r="F113" t="s">
        <v>52</v>
      </c>
    </row>
    <row r="119" spans="3:6" ht="21" x14ac:dyDescent="0.5">
      <c r="C119" s="1" t="s">
        <v>103</v>
      </c>
    </row>
    <row r="124" spans="3:6" ht="15.5" x14ac:dyDescent="0.35">
      <c r="D124" s="4" t="s">
        <v>43</v>
      </c>
      <c r="E124" s="4" t="s">
        <v>102</v>
      </c>
      <c r="F124" s="4" t="s">
        <v>107</v>
      </c>
    </row>
    <row r="125" spans="3:6" x14ac:dyDescent="0.35">
      <c r="D125" s="3">
        <v>0</v>
      </c>
      <c r="E125" t="s">
        <v>70</v>
      </c>
      <c r="F125" t="s">
        <v>121</v>
      </c>
    </row>
    <row r="126" spans="3:6" x14ac:dyDescent="0.35">
      <c r="D126" s="3">
        <v>1</v>
      </c>
      <c r="E126" t="s">
        <v>87</v>
      </c>
      <c r="F126" t="s">
        <v>122</v>
      </c>
    </row>
    <row r="127" spans="3:6" x14ac:dyDescent="0.35">
      <c r="D127" s="3">
        <v>2</v>
      </c>
      <c r="E127" t="s">
        <v>104</v>
      </c>
      <c r="F127" t="s">
        <v>108</v>
      </c>
    </row>
    <row r="128" spans="3:6" x14ac:dyDescent="0.35">
      <c r="D128" s="3">
        <v>3</v>
      </c>
      <c r="E128" t="s">
        <v>104</v>
      </c>
      <c r="F128" t="s">
        <v>109</v>
      </c>
    </row>
    <row r="129" spans="3:6" x14ac:dyDescent="0.35">
      <c r="D129" s="3">
        <v>4</v>
      </c>
      <c r="E129" t="s">
        <v>105</v>
      </c>
      <c r="F129" t="s">
        <v>112</v>
      </c>
    </row>
    <row r="130" spans="3:6" x14ac:dyDescent="0.35">
      <c r="D130" s="3">
        <v>5</v>
      </c>
      <c r="E130" t="s">
        <v>105</v>
      </c>
      <c r="F130" t="s">
        <v>112</v>
      </c>
    </row>
    <row r="131" spans="3:6" x14ac:dyDescent="0.35">
      <c r="D131" s="3">
        <v>6</v>
      </c>
      <c r="E131" t="s">
        <v>106</v>
      </c>
      <c r="F131" t="s">
        <v>110</v>
      </c>
    </row>
    <row r="132" spans="3:6" x14ac:dyDescent="0.35">
      <c r="D132" s="3">
        <v>7</v>
      </c>
      <c r="E132" t="s">
        <v>106</v>
      </c>
      <c r="F132" t="s">
        <v>110</v>
      </c>
    </row>
    <row r="133" spans="3:6" x14ac:dyDescent="0.35">
      <c r="D133" s="3">
        <v>8</v>
      </c>
      <c r="E133" t="s">
        <v>41</v>
      </c>
      <c r="F133" t="s">
        <v>111</v>
      </c>
    </row>
    <row r="134" spans="3:6" x14ac:dyDescent="0.35">
      <c r="D134" s="3">
        <v>9</v>
      </c>
      <c r="E134" t="s">
        <v>41</v>
      </c>
      <c r="F134" t="s">
        <v>111</v>
      </c>
    </row>
    <row r="136" spans="3:6" x14ac:dyDescent="0.35">
      <c r="C136"/>
    </row>
    <row r="137" spans="3:6" x14ac:dyDescent="0.35">
      <c r="C137"/>
    </row>
    <row r="138" spans="3:6" x14ac:dyDescent="0.35">
      <c r="C138"/>
    </row>
    <row r="139" spans="3:6" x14ac:dyDescent="0.35">
      <c r="C139"/>
    </row>
    <row r="140" spans="3:6" x14ac:dyDescent="0.35">
      <c r="C140"/>
    </row>
    <row r="141" spans="3:6" x14ac:dyDescent="0.35">
      <c r="C141"/>
    </row>
    <row r="142" spans="3:6" x14ac:dyDescent="0.35">
      <c r="C142"/>
    </row>
    <row r="143" spans="3:6" x14ac:dyDescent="0.35">
      <c r="C143"/>
    </row>
    <row r="144" spans="3:6" x14ac:dyDescent="0.35">
      <c r="C144"/>
    </row>
    <row r="145" spans="3:3" x14ac:dyDescent="0.35">
      <c r="C145"/>
    </row>
    <row r="146" spans="3:3" x14ac:dyDescent="0.35">
      <c r="C146"/>
    </row>
    <row r="147" spans="3:3" x14ac:dyDescent="0.35">
      <c r="C147"/>
    </row>
    <row r="148" spans="3:3" x14ac:dyDescent="0.35">
      <c r="C148"/>
    </row>
    <row r="149" spans="3:3" x14ac:dyDescent="0.35">
      <c r="C149"/>
    </row>
    <row r="150" spans="3:3" x14ac:dyDescent="0.35">
      <c r="C150"/>
    </row>
    <row r="151" spans="3:3" x14ac:dyDescent="0.35">
      <c r="C151"/>
    </row>
    <row r="152" spans="3:3" x14ac:dyDescent="0.35">
      <c r="C152"/>
    </row>
    <row r="153" spans="3:3" x14ac:dyDescent="0.35">
      <c r="C153"/>
    </row>
    <row r="154" spans="3:3" x14ac:dyDescent="0.35">
      <c r="C154"/>
    </row>
    <row r="155" spans="3:3" x14ac:dyDescent="0.35">
      <c r="C155"/>
    </row>
    <row r="156" spans="3:3" x14ac:dyDescent="0.35">
      <c r="C156"/>
    </row>
    <row r="157" spans="3:3" x14ac:dyDescent="0.35">
      <c r="C157"/>
    </row>
    <row r="158" spans="3:3" x14ac:dyDescent="0.35">
      <c r="C158"/>
    </row>
    <row r="159" spans="3:3" x14ac:dyDescent="0.35">
      <c r="C159"/>
    </row>
    <row r="160" spans="3:3" x14ac:dyDescent="0.35">
      <c r="C160"/>
    </row>
    <row r="161" spans="3:3" x14ac:dyDescent="0.35">
      <c r="C161"/>
    </row>
    <row r="162" spans="3:3" x14ac:dyDescent="0.35">
      <c r="C162"/>
    </row>
    <row r="163" spans="3:3" x14ac:dyDescent="0.35">
      <c r="C163"/>
    </row>
    <row r="164" spans="3:3" x14ac:dyDescent="0.35">
      <c r="C164"/>
    </row>
    <row r="165" spans="3:3" x14ac:dyDescent="0.35">
      <c r="C165"/>
    </row>
    <row r="166" spans="3:3" x14ac:dyDescent="0.35">
      <c r="C166"/>
    </row>
    <row r="167" spans="3:3" x14ac:dyDescent="0.35">
      <c r="C167"/>
    </row>
    <row r="168" spans="3:3" x14ac:dyDescent="0.35">
      <c r="C168"/>
    </row>
  </sheetData>
  <pageMargins left="0.7" right="0.7" top="0.78740157499999996" bottom="0.78740157499999996"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Listy</vt:lpstr>
      </vt:variant>
      <vt:variant>
        <vt:i4>2</vt:i4>
      </vt:variant>
    </vt:vector>
  </HeadingPairs>
  <TitlesOfParts>
    <vt:vector size="2" baseType="lpstr">
      <vt:lpstr>Registers</vt:lpstr>
      <vt:lpstr>Common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Jan Bartovský</dc:creator>
  <cp:lastModifiedBy>Štěpán Roušal</cp:lastModifiedBy>
  <dcterms:created xsi:type="dcterms:W3CDTF">2006-09-16T00:00:00Z</dcterms:created>
  <dcterms:modified xsi:type="dcterms:W3CDTF">2025-05-27T11:25:59Z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fba0845f-b044-43f7-b091-c53e3e84457c</vt:lpwstr>
  </property>
</Properties>
</file>