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rousa\Documents\jablotron\stepper_measurement\stepper_meas\Documents\"/>
    </mc:Choice>
  </mc:AlternateContent>
  <xr:revisionPtr revIDLastSave="0" documentId="13_ncr:1_{34B7F812-B068-4D3B-A0DA-9F18E1094F79}" xr6:coauthVersionLast="47" xr6:coauthVersionMax="47" xr10:uidLastSave="{00000000-0000-0000-0000-000000000000}"/>
  <bookViews>
    <workbookView xWindow="-10260" yWindow="-163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25" l="1"/>
  <c r="K66" i="25" s="1"/>
  <c r="I67" i="25" l="1"/>
  <c r="I68" i="25" s="1"/>
  <c r="I69" i="25" s="1"/>
  <c r="I70" i="25" s="1"/>
  <c r="I81" i="25"/>
  <c r="K81" i="25"/>
  <c r="F7" i="25"/>
  <c r="L66" i="25" l="1"/>
  <c r="L70" i="25"/>
  <c r="L81"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K67" i="25" l="1"/>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68" i="25" l="1"/>
  <c r="I39" i="25"/>
  <c r="K69" i="25" l="1"/>
  <c r="I40" i="25"/>
  <c r="K39" i="25"/>
  <c r="I41" i="25" l="1"/>
  <c r="K41" i="25" s="1"/>
  <c r="K40" i="25"/>
  <c r="I18" i="25" l="1"/>
  <c r="K18" i="25" l="1"/>
  <c r="I19" i="25"/>
  <c r="I20" i="25" s="1"/>
  <c r="I21" i="25" s="1"/>
  <c r="K70" i="25" l="1"/>
  <c r="I22" i="25"/>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<sst xmlns="http://schemas.openxmlformats.org/spreadsheetml/2006/main" count="405" uniqueCount="272">
  <si>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</si>
  <si>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</si>
  <si>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</si>
  <si>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</si>
  <si>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</si>
  <si>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</si>
  <si>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</si>
  <si>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</si>
  <si>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</si>
  <si>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</si>
  <si>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</si>
  <si>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</si>
  <si>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</si>
  <si>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</si>
  <si>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</si>
  <si>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</si>
  <si>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</si>
  <si>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</si>
  <si>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</si>
  <si>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</si>
  <si>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</si>
  <si>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</si>
  <si>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</si>
  <si>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</si>
  <si>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</si>
  <si>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</si>
  <si>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</si>
  <si>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</si>
  <si>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</si>
  <si>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</si>
  <si>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</si>
  <si>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</si>
  <si>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</si>
  <si>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</si>
  <si>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</si>
  <si>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</si>
  <si>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</si>
  <si>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</si>
  <si>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</si>
  <si>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</si>
  <si>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</si>
  <si>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</si>
  <si>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</si>
  <si>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</si>
  <si>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</si>
  <si>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</si>
  <si>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</si>
  <si>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</si>
  <si>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</si>
  <si>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</si>
  <si>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</si>
  <si>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</si>
  <si>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</si>
  <si>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</si>
  <si>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</si>
  <si>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</si>
  <si>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</si>
  <si>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</si>
  <si>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</si>
  <si>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</si>
  <si>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</si>
  <si>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</si>
  <si>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</si>
  <si>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</si>
  <si>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</si>
  <si>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</si>
  <si>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</si>
  <si>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</si>
  <si>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</si>
  <si>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</si>
  <si>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</si>
  <si>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</si>
  <si>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</si>
  <si>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</si>
  <si>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</si>
  <si>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</si>
  <si>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</si>
  <si>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</si>
  <si>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</si>
  <si>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</si>
  <si>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</si>
  <si>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</si>
  <si>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</si>
  <si>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</si>
  <si>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</si>
  <si>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</si>
  <si>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</si>
  <si>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</si>
  <si>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</si>
  <si>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</si>
  <si>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</si>
  <si>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</si>
  <si>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</si>
  <si>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</si>
  <si>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</si>
  <si>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</si>
  <si>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</si>
  <si>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</si>
  <si>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</si>
  <si>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</si>
  <si>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</si>
  <si>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</si>
  <si>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</si>
  <si>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</si>
  <si>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</si>
  <si>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</si>
  <si>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</si>
  <si>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</si>
  <si>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</si>
  <si>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</si>
  <si>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</si>
  <si>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</si>
  <si>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</si>
  <si>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</si>
  <si>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</si>
  <si>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</si>
  <si>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</si>
  <si>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</si>
  <si>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</si>
  <si>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</si>
  <si>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</si>
  <si>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</si>
  <si>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</si>
  <si>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</si>
  <si>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</si>
  <si>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</si>
  <si>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</si>
  <si>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</si>
  <si>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</si>
  <si>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</si>
  <si>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</si>
  <si>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</si>
  <si>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</si>
  <si>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</si>
  <si>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</si>
  <si>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</si>
  <si>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</si>
  <si>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</si>
  <si>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</si>
  <si>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</si>
  <si>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</si>
  <si>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</si>
  <si>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</si>
  <si>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</si>
  <si>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</si>
  <si>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</si>
  <si>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</si>
  <si>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</si>
  <si>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</si>
  <si>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</si>
  <si>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</si>
  <si>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</si>
  <si>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</si>
  <si>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</si>
  <si>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</si>
  <si>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</si>
  <si>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</si>
  <si>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</si>
  <si>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</si>
  <si>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</si>
  <si>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</si>
  <si>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</si>
  <si>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</si>
  <si>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</si>
  <si>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</si>
  <si>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</si>
  <si>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</si>
  <si>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</si>
  <si>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</si>
  <si>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</si>
  <si>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</si>
  <si>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</si>
  <si>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</si>
  <si>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</si>
  <si>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</si>
  <si>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</si>
  <si>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</si>
  <si>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</si>
  <si>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</si>
  <si>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</si>
  <si>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</si>
  <si>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</si>
  <si>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</si>
  <si>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</si>
  <si>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</si>
  <si>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</si>
  <si>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</si>
  <si>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</si>
  <si>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</si>
  <si>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</si>
  <si>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</si>
  <si>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</si>
  <si>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</si>
  <si>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</si>
  <si>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</si>
  <si>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</si>
  <si>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</si>
  <si>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</si>
  <si>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</si>
  <si>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</si>
  <si>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</si>
  <si>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</si>
  <si>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</si>
  <si>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</si>
  <si>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</si>
  <si>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</si>
  <si>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</si>
  <si>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</si>
  <si>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</si>
  <si>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</si>
  <si>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</si>
  <si>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</si>
  <si>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</si>
  <si>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</si>
  <si>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</si>
  <si>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</si>
  <si>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</si>
  <si>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</si>
  <si>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</si>
  <si>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</si>
  <si>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</si>
  <si>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</si>
  <si>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</si>
  <si>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</si>
  <si>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</si>
  <si>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</si>
  <si>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</si>
  <si>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</si>
  <si>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</si>
  <si>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</si>
  <si>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</si>
  <si>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</si>
  <si>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</si>
  <si>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</si>
  <si>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</si>
  <si>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</si>
  <si>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</si>
  <si>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</si>
  <si>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</si>
  <si>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</si>
  <si>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</si>
  <si>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</si>
  <si>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</si>
  <si>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</si>
  <si>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NTC_BETA</t>
  </si>
  <si>
    <t>NTC beta</t>
  </si>
  <si>
    <t>NTC beta coefficient for computation</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</si>
  <si>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</si>
  <si>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</si>
  <si>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</si>
  <si>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</si>
  <si>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</si>
  <si>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</si>
  <si>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</si>
  <si>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</si>
  <si>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</si>
  <si>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RTD_MD_RESISTANCE</t>
  </si>
  <si>
    <t>RTD_MD_NTC</t>
  </si>
  <si>
    <t>RTD_MD_PLATINUM</t>
  </si>
  <si>
    <t>C:\Users\evzen\OneDrive\Dokumenty\RTD_repo\Tests\prec-rtd-sim\</t>
  </si>
  <si>
    <t>C:\Users\rousa\Documents\jablotron\stepper_measurement\stepper_meas\Firmware\Core\Serial\</t>
  </si>
  <si>
    <t>C:\Users\rousa\Documents\jablotron\stepper_measurement\stepper_meas\Firmware\Core\Common\</t>
  </si>
  <si>
    <t>C:\Users\rousa\Documents\jablotron\stepper_measurement\stepper_meas\Documents\txts\StepperMeas_Modbus.json</t>
  </si>
  <si>
    <t>C:\Users\rousa\Documents\jablotron\stepper_measurement\stepper_meas\Documents\txts\StepperMeasRegs.py</t>
  </si>
  <si>
    <t>C:\Users\rousa\Documents\jablotron\stepper_measurement\stepper_meas\Documents\txts\StepperMeas_Define.txt</t>
  </si>
  <si>
    <t>C:\Users\rousa\Documents\jablotron\stepper_measurement\stepper_meas\Documents\txts\StepperMeas_Storage.txt</t>
  </si>
  <si>
    <t>C:\Users\rousa\Documents\jablotron\stepper_measurement\stepper_meas\Documents\txts\StepperMeas_Factory.txt</t>
  </si>
  <si>
    <t>C:\Users\rousa\Documents\jablotron\stepper_measurement\stepper_meas\Documents\txts\reg_map.c</t>
  </si>
  <si>
    <t>STPMEA</t>
  </si>
  <si>
    <t>STEPPER_MEASUREMENT</t>
  </si>
  <si>
    <t>Stepper measuremeent registr</t>
  </si>
  <si>
    <t>C:\Users\rousa\Documents\jablotron\stepper_measurement\stepper_meas\Documents\txts\StepperMeas_registers.json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</si>
</sst>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1301750</xdr:colOff>
          <xdr:row>3</xdr:row>
          <xdr:rowOff>25400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7</xdr:row>
          <xdr:rowOff>12700</xdr:rowOff>
        </xdr:from>
        <xdr:to>
          <xdr:col>9</xdr:col>
          <xdr:colOff>1301750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9</xdr:row>
          <xdr:rowOff>12700</xdr:rowOff>
        </xdr:from>
        <xdr:to>
          <xdr:col>9</xdr:col>
          <xdr:colOff>1301750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48" zoomScale="84" zoomScaleNormal="100" workbookViewId="0">
      <selection activeCell="O79" sqref="O79"/>
    </sheetView>
  </sheetViews>
  <sheetFormatPr defaultColWidth="9.1796875" defaultRowHeight="14.5" x14ac:dyDescent="0.35"/>
  <cols>
    <col min="1" max="1" width="2.26953125" style="12" customWidth="1"/>
    <col min="2" max="3" width="2.1796875" style="12" customWidth="1"/>
    <col min="4" max="4" width="1.54296875" style="12" customWidth="1"/>
    <col min="5" max="5" width="19.54296875" style="12" customWidth="1"/>
    <col min="6" max="6" width="112.54296875" style="10" customWidth="1"/>
    <col min="7" max="7" width="6.81640625" style="10" customWidth="1"/>
    <col min="8" max="8" width="5.453125" style="10" customWidth="1"/>
    <col min="9" max="9" width="8.453125" style="10" customWidth="1"/>
    <col min="10" max="10" width="21.26953125" style="10" customWidth="1"/>
    <col min="11" max="11" width="14.453125" style="12" customWidth="1"/>
    <col min="12" max="12" width="26.7265625" style="10" customWidth="1"/>
    <col min="13" max="13" width="23.81640625" style="12" customWidth="1"/>
    <col min="14" max="14" width="9.1796875" style="10" customWidth="1"/>
    <col min="15" max="15" width="9.453125" style="10" customWidth="1"/>
    <col min="16" max="16" width="9.7265625" style="10" customWidth="1"/>
    <col min="17" max="17" width="6.1796875" style="10" customWidth="1"/>
    <col min="18" max="18" width="7" style="10" bestFit="1" customWidth="1"/>
    <col min="19" max="19" width="3.54296875" style="10" customWidth="1"/>
    <col min="20" max="20" width="61.453125" style="12" customWidth="1"/>
    <col min="21" max="16384" width="9.1796875" style="12"/>
  </cols>
  <sheetData>
    <row r="3" spans="1:26" ht="21.75" customHeight="1" x14ac:dyDescent="0.35">
      <c r="J3" s="3" t="s">
        <v>1</v>
      </c>
      <c r="K3" s="9" t="s">
        <v>144</v>
      </c>
      <c r="L3" s="8" t="s">
        <v>267</v>
      </c>
      <c r="T3" s="31"/>
    </row>
    <row r="4" spans="1:26" ht="25" customHeight="1" x14ac:dyDescent="0.35">
      <c r="D4" s="31" t="s">
        <v>18</v>
      </c>
      <c r="E4" s="31"/>
      <c r="F4" s="31" t="s">
        <v>113</v>
      </c>
      <c r="J4" s="3" t="s">
        <v>1</v>
      </c>
      <c r="K4" s="9" t="s">
        <v>5</v>
      </c>
      <c r="L4" s="8" t="s">
        <v>264</v>
      </c>
      <c r="M4" s="11"/>
      <c r="U4" s="12" t="s">
        <v>1</v>
      </c>
      <c r="Z4" s="10"/>
    </row>
    <row r="5" spans="1:26" ht="25" customHeight="1" x14ac:dyDescent="0.35">
      <c r="D5" s="31" t="s">
        <v>19</v>
      </c>
      <c r="E5" s="31"/>
      <c r="F5" s="31" t="s">
        <v>20</v>
      </c>
      <c r="J5" s="3" t="s">
        <v>1</v>
      </c>
      <c r="K5" s="9" t="s">
        <v>100</v>
      </c>
      <c r="L5" s="8" t="s">
        <v>182</v>
      </c>
      <c r="M5" s="11"/>
      <c r="U5" s="12" t="s">
        <v>1</v>
      </c>
      <c r="Z5" s="10"/>
    </row>
    <row r="6" spans="1:26" ht="25" customHeight="1" x14ac:dyDescent="0.35">
      <c r="D6" s="31" t="s">
        <v>63</v>
      </c>
      <c r="E6" s="13"/>
      <c r="F6" s="32">
        <v>1</v>
      </c>
      <c r="J6" s="3" t="s">
        <v>1</v>
      </c>
      <c r="K6" s="9" t="s">
        <v>17</v>
      </c>
      <c r="L6" s="8" t="s">
        <v>265</v>
      </c>
      <c r="M6" s="11"/>
      <c r="U6" s="12" t="s">
        <v>1</v>
      </c>
      <c r="Z6" s="10"/>
    </row>
    <row r="7" spans="1:26" ht="25" customHeight="1" x14ac:dyDescent="0.35">
      <c r="D7" s="31" t="s">
        <v>143</v>
      </c>
      <c r="E7" s="13"/>
      <c r="F7" s="31" t="str">
        <f>GetWorkName()</f>
        <v>StepperMeas</v>
      </c>
      <c r="J7" s="3" t="s">
        <v>1</v>
      </c>
      <c r="K7" s="9" t="s">
        <v>21</v>
      </c>
      <c r="L7" s="8" t="s">
        <v>266</v>
      </c>
      <c r="M7" s="11"/>
      <c r="U7" s="12" t="s">
        <v>1</v>
      </c>
      <c r="Z7" s="10"/>
    </row>
    <row r="8" spans="1:26" ht="25" customHeight="1" x14ac:dyDescent="0.35">
      <c r="D8" s="31" t="s">
        <v>117</v>
      </c>
      <c r="E8" s="13"/>
      <c r="F8" s="31" t="s">
        <v>261</v>
      </c>
      <c r="J8" s="3" t="s">
        <v>1</v>
      </c>
      <c r="K8" s="9" t="s">
        <v>145</v>
      </c>
      <c r="L8" s="8" t="s">
        <v>262</v>
      </c>
      <c r="M8" s="11"/>
      <c r="U8" s="12" t="s">
        <v>1</v>
      </c>
      <c r="Z8" s="10"/>
    </row>
    <row r="9" spans="1:26" ht="25" customHeight="1" x14ac:dyDescent="0.35">
      <c r="D9" s="31" t="s">
        <v>148</v>
      </c>
      <c r="E9" s="13"/>
      <c r="F9" s="31" t="s">
        <v>260</v>
      </c>
      <c r="J9" s="3"/>
      <c r="K9" s="9" t="s">
        <v>1</v>
      </c>
      <c r="L9" s="8" t="s">
        <v>263</v>
      </c>
      <c r="M9" s="11"/>
      <c r="Z9" s="10"/>
    </row>
    <row r="10" spans="1:26" ht="25" customHeight="1" x14ac:dyDescent="0.35">
      <c r="D10" s="31" t="s">
        <v>153</v>
      </c>
      <c r="E10" s="13"/>
      <c r="F10" s="31" t="s">
        <v>259</v>
      </c>
      <c r="K10" s="9" t="s">
        <v>154</v>
      </c>
      <c r="L10" s="8" t="s">
        <v>271</v>
      </c>
      <c r="M10" s="11"/>
    </row>
    <row r="11" spans="1:26" ht="24.75" customHeight="1" x14ac:dyDescent="0.35">
      <c r="D11" s="31" t="s">
        <v>155</v>
      </c>
      <c r="F11" s="31"/>
      <c r="K11" s="10"/>
      <c r="M11" s="11"/>
    </row>
    <row r="12" spans="1:26" ht="24.75" customHeight="1" x14ac:dyDescent="0.35">
      <c r="D12" s="31" t="s">
        <v>151</v>
      </c>
      <c r="E12" s="11"/>
      <c r="F12" s="31" t="str">
        <f>ModbusGetVersion()</f>
        <v>0.1.15 - 2021-02-15</v>
      </c>
      <c r="G12" s="12"/>
      <c r="H12" s="12"/>
      <c r="I12" s="12"/>
      <c r="J12" s="12"/>
      <c r="M12" s="11"/>
    </row>
    <row r="13" spans="1:26" x14ac:dyDescent="0.35">
      <c r="F13" s="12"/>
      <c r="G13" s="12"/>
      <c r="H13" s="12"/>
      <c r="I13" s="12"/>
      <c r="J13" s="12"/>
      <c r="M13" s="11"/>
    </row>
    <row r="14" spans="1:26" x14ac:dyDescent="0.35">
      <c r="F14" s="12"/>
      <c r="G14" s="12"/>
      <c r="H14" s="12"/>
      <c r="I14" s="12"/>
      <c r="J14" s="12"/>
      <c r="M14" s="11"/>
    </row>
    <row r="15" spans="1:26" x14ac:dyDescent="0.35">
      <c r="E15" s="11"/>
      <c r="K15" s="10"/>
      <c r="M15" s="11"/>
    </row>
    <row r="16" spans="1:26" ht="15" customHeight="1" x14ac:dyDescent="0.3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35">
      <c r="A17" s="56"/>
      <c r="B17" s="56"/>
      <c r="C17" s="54"/>
      <c r="D17" s="45"/>
      <c r="E17" s="43"/>
      <c r="F17" s="47"/>
      <c r="G17" s="47"/>
      <c r="H17" s="47"/>
      <c r="I17" s="45"/>
      <c r="J17" s="47"/>
      <c r="K17" s="45"/>
      <c r="L17" s="45"/>
      <c r="M17" s="52"/>
      <c r="N17" s="45"/>
      <c r="O17" s="49"/>
      <c r="P17" s="49"/>
      <c r="Q17" s="53"/>
      <c r="R17" s="53"/>
      <c r="S17" s="49"/>
      <c r="T17" s="43"/>
    </row>
    <row r="18" spans="1:20" x14ac:dyDescent="0.3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3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3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3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3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3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87" x14ac:dyDescent="0.3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3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3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35">
      <c r="A30" s="34"/>
      <c r="D30" s="14"/>
      <c r="E30" s="2"/>
      <c r="F30" s="3"/>
      <c r="G30" s="5"/>
      <c r="H30" s="18"/>
      <c r="I30" s="14"/>
      <c r="J30" s="29"/>
      <c r="K30" s="10"/>
      <c r="M30" s="2"/>
      <c r="Q30" s="29"/>
      <c r="R30" s="3"/>
      <c r="S30" s="29"/>
      <c r="T30" s="35"/>
    </row>
    <row r="31" spans="1:20" x14ac:dyDescent="0.35">
      <c r="A31" s="34"/>
      <c r="D31" s="14"/>
      <c r="E31" s="2"/>
      <c r="F31" s="3"/>
      <c r="G31" s="5"/>
      <c r="H31" s="18"/>
      <c r="I31" s="14"/>
      <c r="J31" s="29"/>
      <c r="K31" s="10"/>
      <c r="M31" s="2"/>
      <c r="Q31" s="29"/>
      <c r="R31" s="3"/>
      <c r="S31" s="29"/>
      <c r="T31" s="35"/>
    </row>
    <row r="32" spans="1:20" x14ac:dyDescent="0.35">
      <c r="D32" s="14"/>
      <c r="K32" s="10"/>
      <c r="R32" s="3"/>
    </row>
    <row r="33" spans="1:23" x14ac:dyDescent="0.3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3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3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3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35">
      <c r="D37" s="14"/>
      <c r="E37" s="11"/>
      <c r="F37" s="14"/>
      <c r="G37" s="5"/>
      <c r="H37" s="18"/>
      <c r="I37" s="14"/>
      <c r="J37" s="14"/>
      <c r="K37" s="10"/>
      <c r="M37"/>
      <c r="O37" s="3"/>
      <c r="P37" s="3"/>
      <c r="R37" s="29"/>
      <c r="T37"/>
    </row>
    <row r="38" spans="1:23" ht="15" customHeight="1" x14ac:dyDescent="0.3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3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3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3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35">
      <c r="D42" s="15"/>
      <c r="E42" s="2"/>
      <c r="F42" s="5"/>
      <c r="G42" s="5"/>
      <c r="H42" s="18"/>
      <c r="I42" s="14"/>
      <c r="J42" s="14"/>
      <c r="K42" s="10"/>
      <c r="L42" s="3"/>
      <c r="M42"/>
      <c r="R42" s="29"/>
      <c r="T42"/>
    </row>
    <row r="43" spans="1:23" s="34" customFormat="1" x14ac:dyDescent="0.35">
      <c r="B43" s="12"/>
      <c r="C43" s="12"/>
      <c r="D43"/>
      <c r="E43"/>
      <c r="F43" s="3"/>
      <c r="G43" s="3"/>
      <c r="H43" s="3"/>
      <c r="I43" s="33"/>
      <c r="J43" s="29"/>
      <c r="K43" s="29"/>
      <c r="L43" s="29"/>
      <c r="M43" s="21"/>
      <c r="N43" s="29"/>
      <c r="O43" s="3"/>
      <c r="P43" s="3"/>
      <c r="Q43" s="3"/>
      <c r="R43" s="3"/>
      <c r="S43"/>
      <c r="T43"/>
      <c r="U43"/>
      <c r="V43"/>
      <c r="W43"/>
    </row>
    <row r="44" spans="1:23" s="34" customFormat="1" x14ac:dyDescent="0.3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3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3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3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3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6" s="34" customFormat="1" x14ac:dyDescent="0.3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6" s="34" customFormat="1" x14ac:dyDescent="0.3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6" s="34" customFormat="1" x14ac:dyDescent="0.3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6" s="34" customFormat="1" x14ac:dyDescent="0.3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6" s="34" customFormat="1" x14ac:dyDescent="0.3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6" s="34" customFormat="1" x14ac:dyDescent="0.3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6" s="34" customFormat="1" x14ac:dyDescent="0.3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6" s="34" customFormat="1" x14ac:dyDescent="0.3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6" s="34" customFormat="1" x14ac:dyDescent="0.3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6" s="34" customFormat="1" x14ac:dyDescent="0.3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6" s="34" customFormat="1" x14ac:dyDescent="0.3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6" s="34" customFormat="1" x14ac:dyDescent="0.3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6" s="34" customFormat="1" x14ac:dyDescent="0.35">
      <c r="D61" s="40"/>
      <c r="F61" s="29"/>
      <c r="I61" s="33"/>
      <c r="K61" s="10"/>
      <c r="N61" s="29"/>
      <c r="O61" s="29"/>
      <c r="P61" s="29"/>
      <c r="Q61" s="29"/>
      <c r="R61" s="29"/>
    </row>
    <row r="62" spans="4:26" x14ac:dyDescent="0.35">
      <c r="E62"/>
      <c r="F62" s="3"/>
      <c r="G62" s="3"/>
      <c r="H62" s="3"/>
      <c r="I62" s="33"/>
      <c r="K62" s="10"/>
      <c r="L62" s="3"/>
      <c r="M62"/>
      <c r="N62" s="3"/>
      <c r="Q62" s="3"/>
      <c r="T62"/>
      <c r="Z62" s="34"/>
    </row>
    <row r="63" spans="4:26" s="34" customFormat="1" x14ac:dyDescent="0.35">
      <c r="D63" s="40"/>
    </row>
    <row r="64" spans="4:26" s="34" customFormat="1" x14ac:dyDescent="0.35">
      <c r="D64" s="40"/>
    </row>
    <row r="65" spans="1:35" s="34" customFormat="1" x14ac:dyDescent="0.35">
      <c r="D65" s="40"/>
    </row>
    <row r="66" spans="1:35" s="34" customFormat="1" x14ac:dyDescent="0.35">
      <c r="D66" s="40"/>
      <c r="E66" t="s">
        <v>243</v>
      </c>
      <c r="F66" s="3" t="s">
        <v>268</v>
      </c>
      <c r="G66" s="3" t="s">
        <v>114</v>
      </c>
      <c r="H66" s="3" t="s">
        <v>50</v>
      </c>
      <c r="I66" s="33">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STPMEA_MODE</v>
      </c>
      <c r="M66" t="s">
        <v>247</v>
      </c>
      <c r="N66" s="29"/>
      <c r="O66" s="29">
        <v>0</v>
      </c>
      <c r="P66" s="29">
        <v>2</v>
      </c>
      <c r="Q66" s="29"/>
      <c r="R66" s="3" t="s">
        <v>248</v>
      </c>
      <c r="T66" t="s">
        <v>249</v>
      </c>
    </row>
    <row r="67" spans="1:35" s="34" customFormat="1" x14ac:dyDescent="0.35">
      <c r="D67" s="40"/>
      <c r="E67"/>
      <c r="F67" s="3"/>
      <c r="G67" s="3"/>
      <c r="H67" s="3"/>
      <c r="I67" s="33">
        <f t="shared" ref="I67:I77" si="8">I66+J66</f>
        <v>1</v>
      </c>
      <c r="J67" s="29"/>
      <c r="K67" s="10">
        <f xml:space="preserve"> IFERROR("0x" &amp; DEC2HEX(VLOOKUP(F67,Common!$C$10:$D$34,2,FALSE),2) &amp; DEC2HEX(I67,3) &amp; DEC2HEX(VLOOKUP(G67,Common!$C$51:$D$55,2,FALSE),1) &amp; DEC2HEX(1+2*VLOOKUP(H67,Common!$C$69:$D$72,2,FALSE),1) &amp; DEC2HEX(IFERROR(LOG(J67,2),0),1),0)</f>
        <v>0</v>
      </c>
      <c r="L67" s="3" t="s">
        <v>256</v>
      </c>
      <c r="M67" t="s">
        <v>250</v>
      </c>
      <c r="N67" s="29"/>
      <c r="O67" s="29"/>
      <c r="P67" s="29"/>
      <c r="Q67" s="29"/>
      <c r="R67" s="29"/>
      <c r="T67" t="s">
        <v>251</v>
      </c>
    </row>
    <row r="68" spans="1:35" s="10" customFormat="1" x14ac:dyDescent="0.35">
      <c r="A68" s="12"/>
      <c r="B68" s="12"/>
      <c r="C68" s="12"/>
      <c r="D68"/>
      <c r="E68"/>
      <c r="F68" s="3"/>
      <c r="G68" s="3"/>
      <c r="H68" s="3"/>
      <c r="I68" s="33">
        <f t="shared" si="8"/>
        <v>1</v>
      </c>
      <c r="J68" s="29"/>
      <c r="K68" s="10">
        <f xml:space="preserve"> IFERROR("0x" &amp; DEC2HEX(VLOOKUP(F68,Common!$C$10:$D$34,2,FALSE),2) &amp; DEC2HEX(I68,3) &amp; DEC2HEX(VLOOKUP(G68,Common!$C$51:$D$55,2,FALSE),1) &amp; DEC2HEX(1+2*VLOOKUP(H68,Common!$C$69:$D$72,2,FALSE),1) &amp; DEC2HEX(IFERROR(LOG(J68,2),0),1),0)</f>
        <v>0</v>
      </c>
      <c r="L68" s="3" t="s">
        <v>257</v>
      </c>
      <c r="M68" t="s">
        <v>252</v>
      </c>
      <c r="N68" s="29"/>
      <c r="O68" s="29"/>
      <c r="P68" s="29"/>
      <c r="Q68" s="29"/>
      <c r="R68" s="29"/>
      <c r="S68" s="34"/>
      <c r="T68" t="s">
        <v>253</v>
      </c>
      <c r="U68" s="34"/>
      <c r="V68" s="34"/>
      <c r="W68" s="34"/>
      <c r="X68" s="34"/>
      <c r="Y68" s="34"/>
      <c r="Z68" s="34"/>
      <c r="AA68" s="12"/>
      <c r="AB68" s="12"/>
      <c r="AC68" s="12"/>
      <c r="AD68" s="12"/>
      <c r="AE68" s="12"/>
      <c r="AF68" s="12"/>
      <c r="AG68" s="12"/>
      <c r="AH68" s="12"/>
      <c r="AI68" s="12"/>
    </row>
    <row r="69" spans="1:35" s="34" customFormat="1" x14ac:dyDescent="0.35">
      <c r="D69" s="40"/>
      <c r="E69"/>
      <c r="F69" s="3"/>
      <c r="G69" s="3"/>
      <c r="H69" s="3"/>
      <c r="I69" s="33">
        <f t="shared" si="8"/>
        <v>1</v>
      </c>
      <c r="J69" s="29"/>
      <c r="K69" s="10">
        <f xml:space="preserve"> IFERROR("0x" &amp; DEC2HEX(VLOOKUP(F69,Common!$C$10:$D$34,2,FALSE),2) &amp; DEC2HEX(I69,3) &amp; DEC2HEX(VLOOKUP(G69,Common!$C$51:$D$55,2,FALSE),1) &amp; DEC2HEX(1+2*VLOOKUP(H69,Common!$C$69:$D$72,2,FALSE),1) &amp; DEC2HEX(IFERROR(LOG(J69,2),0),1),0)</f>
        <v>0</v>
      </c>
      <c r="L69" s="3" t="s">
        <v>258</v>
      </c>
      <c r="M69" t="s">
        <v>254</v>
      </c>
      <c r="N69" s="29"/>
      <c r="O69" s="29"/>
      <c r="P69" s="29"/>
      <c r="Q69" s="29"/>
      <c r="R69" s="29"/>
      <c r="T69" t="s">
        <v>255</v>
      </c>
    </row>
    <row r="70" spans="1:35" s="34" customFormat="1" x14ac:dyDescent="0.35">
      <c r="D70" s="40"/>
      <c r="E70" t="s">
        <v>244</v>
      </c>
      <c r="F70" s="3" t="s">
        <v>268</v>
      </c>
      <c r="G70" s="3" t="s">
        <v>48</v>
      </c>
      <c r="H70" s="3" t="s">
        <v>50</v>
      </c>
      <c r="I70" s="33">
        <f>I72+J72</f>
        <v>0</v>
      </c>
      <c r="J70" s="29">
        <v>2</v>
      </c>
      <c r="K70" s="10" t="str">
        <f xml:space="preserve"> IFERROR("0x" &amp; DEC2HEX(VLOOKUP(F70,Common!$C$10:$D$34,2,FALSE),2) &amp; DEC2HEX(I70,3) &amp; DEC2HEX(VLOOKUP(G70,Common!$C$51:$D$55,2,FALSE),1) &amp; DEC2HEX(1+2*VLOOKUP(H70,Common!$C$69:$D$72,2,FALSE),1) &amp; DEC2HEX(IFERROR(LOG(J70,2),0),1),0)</f>
        <v>0x05000151</v>
      </c>
      <c r="L70" s="29" t="str">
        <f>IF(AND(LEN(E70)&lt;&gt;0,S70=""),F70&amp;"_"&amp;UPPER(E70),"")</f>
        <v>STPMEA_NTC_BETA</v>
      </c>
      <c r="M70" t="s">
        <v>245</v>
      </c>
      <c r="N70" s="29">
        <v>3977</v>
      </c>
      <c r="O70" s="29">
        <v>3000</v>
      </c>
      <c r="P70" s="29">
        <v>5500</v>
      </c>
      <c r="Q70" s="29"/>
      <c r="R70" s="29"/>
      <c r="S70" s="29"/>
      <c r="T70" t="s">
        <v>246</v>
      </c>
      <c r="U70"/>
    </row>
    <row r="71" spans="1:35" s="34" customFormat="1" x14ac:dyDescent="0.35">
      <c r="D71" s="40"/>
      <c r="E71" s="24"/>
      <c r="F71" s="23"/>
      <c r="G71" s="23"/>
      <c r="H71" s="26"/>
      <c r="I71" s="33"/>
      <c r="J71" s="22"/>
      <c r="K71" s="10"/>
      <c r="L71" s="23"/>
      <c r="M71" s="21"/>
      <c r="N71" s="22"/>
      <c r="O71" s="22"/>
      <c r="P71" s="22"/>
      <c r="Q71" s="23"/>
      <c r="R71" s="23"/>
      <c r="S71" s="22"/>
      <c r="T71" s="21"/>
      <c r="U71"/>
    </row>
    <row r="72" spans="1:35" s="34" customFormat="1" x14ac:dyDescent="0.35">
      <c r="D72" s="40"/>
      <c r="F72" s="3"/>
      <c r="I72" s="33"/>
      <c r="K72" s="10"/>
      <c r="L72" s="23"/>
      <c r="T72" s="21"/>
    </row>
    <row r="73" spans="1:35" s="34" customFormat="1" x14ac:dyDescent="0.35">
      <c r="D73" s="40"/>
      <c r="Z73" s="12"/>
    </row>
    <row r="74" spans="1:35" s="34" customFormat="1" x14ac:dyDescent="0.35">
      <c r="D74" s="40"/>
      <c r="E74"/>
      <c r="F74" s="3"/>
      <c r="G74" s="3"/>
      <c r="H74" s="3"/>
      <c r="I74" s="33"/>
      <c r="J74" s="29"/>
      <c r="K74" s="10"/>
      <c r="L74" s="29"/>
      <c r="M74"/>
      <c r="N74" s="29"/>
      <c r="O74" s="29"/>
      <c r="P74" s="29"/>
      <c r="Q74" s="3"/>
      <c r="R74" s="29"/>
      <c r="S74" s="29"/>
      <c r="T74"/>
      <c r="Z74" s="12"/>
    </row>
    <row r="75" spans="1:35" s="34" customFormat="1" x14ac:dyDescent="0.35">
      <c r="D75" s="40"/>
      <c r="E75"/>
      <c r="F75" s="3"/>
      <c r="G75" s="3"/>
      <c r="H75" s="3"/>
      <c r="I75" s="33"/>
      <c r="J75" s="29"/>
      <c r="K75" s="10"/>
      <c r="L75" s="29"/>
      <c r="M75"/>
      <c r="N75" s="29"/>
      <c r="O75" s="29"/>
      <c r="P75" s="29"/>
      <c r="Q75" s="3"/>
      <c r="R75" s="29"/>
      <c r="T75"/>
    </row>
    <row r="76" spans="1:35" s="34" customFormat="1" x14ac:dyDescent="0.35">
      <c r="D76" s="40"/>
      <c r="E76"/>
      <c r="F76" s="3"/>
      <c r="G76" s="3"/>
      <c r="H76" s="3"/>
      <c r="I76" s="33"/>
      <c r="J76" s="29"/>
      <c r="K76" s="10"/>
      <c r="L76" s="29"/>
      <c r="M76"/>
      <c r="N76" s="29"/>
      <c r="O76" s="3"/>
      <c r="P76" s="29"/>
      <c r="Q76" s="3"/>
      <c r="R76" s="3"/>
      <c r="T76"/>
      <c r="Z76" s="12"/>
    </row>
    <row r="77" spans="1:35" s="34" customFormat="1" x14ac:dyDescent="0.35">
      <c r="D77" s="40"/>
      <c r="E77"/>
      <c r="F77" s="3"/>
      <c r="G77" s="3"/>
      <c r="H77" s="3"/>
      <c r="I77" s="33"/>
      <c r="J77" s="29"/>
      <c r="K77" s="10"/>
      <c r="L77" s="29"/>
      <c r="M77"/>
      <c r="N77" s="29"/>
      <c r="O77" s="3"/>
      <c r="P77" s="29"/>
      <c r="Q77" s="3"/>
      <c r="R77" s="3"/>
      <c r="T77"/>
      <c r="Z77" s="12"/>
    </row>
    <row r="78" spans="1:35" s="34" customFormat="1" x14ac:dyDescent="0.35">
      <c r="D78" s="40"/>
      <c r="E78" s="24"/>
      <c r="F78" s="23"/>
      <c r="G78" s="23"/>
      <c r="H78" s="26"/>
      <c r="I78" s="33"/>
      <c r="J78" s="29"/>
      <c r="K78" s="10"/>
      <c r="L78" s="22"/>
      <c r="M78" s="21"/>
      <c r="N78" s="22"/>
      <c r="O78" s="22"/>
      <c r="P78" s="22"/>
      <c r="Q78" s="23"/>
      <c r="R78" s="23"/>
      <c r="S78" s="22"/>
      <c r="T78" s="21"/>
      <c r="U78"/>
      <c r="V78"/>
      <c r="W78"/>
      <c r="X78"/>
      <c r="Y78"/>
    </row>
    <row r="79" spans="1:35" s="34" customFormat="1" x14ac:dyDescent="0.35">
      <c r="D79" s="40"/>
      <c r="E79" s="24"/>
      <c r="F79" s="23"/>
      <c r="G79" s="23"/>
      <c r="H79" s="26"/>
      <c r="I79" s="33"/>
      <c r="J79" s="22"/>
      <c r="K79" s="10"/>
      <c r="L79" s="23"/>
      <c r="M79" s="21"/>
      <c r="N79" s="22"/>
      <c r="O79" s="22"/>
      <c r="P79" s="22"/>
      <c r="Q79" s="23"/>
      <c r="R79" s="23"/>
      <c r="S79" s="22"/>
      <c r="T79" s="21"/>
      <c r="U79"/>
      <c r="V79"/>
      <c r="W79"/>
      <c r="X79"/>
      <c r="Y79"/>
    </row>
    <row r="80" spans="1:35" s="10" customFormat="1" x14ac:dyDescent="0.35">
      <c r="A80" s="12"/>
      <c r="B80" s="12"/>
      <c r="C80" s="12"/>
      <c r="D80"/>
      <c r="E80" s="34"/>
      <c r="F80" s="3"/>
      <c r="G80" s="34"/>
      <c r="H80" s="34"/>
      <c r="I80" s="33"/>
      <c r="J80" s="34"/>
      <c r="L80" s="23"/>
      <c r="M80" s="34"/>
      <c r="N80" s="34"/>
      <c r="O80" s="34"/>
      <c r="P80" s="34"/>
      <c r="Q80" s="34"/>
      <c r="R80" s="34"/>
      <c r="S80" s="34"/>
      <c r="T80" s="34"/>
      <c r="U80" s="34"/>
      <c r="V80" s="34"/>
      <c r="W80" s="34"/>
      <c r="X80" s="34"/>
      <c r="Y80" s="34"/>
      <c r="AA80" s="12"/>
      <c r="AB80" s="12"/>
      <c r="AC80" s="12"/>
      <c r="AD80" s="12"/>
      <c r="AE80" s="12"/>
      <c r="AF80" s="12"/>
      <c r="AG80" s="12"/>
      <c r="AH80" s="12"/>
      <c r="AI80" s="12"/>
    </row>
    <row r="81" spans="1:35" s="10" customFormat="1" x14ac:dyDescent="0.35">
      <c r="A81" s="12"/>
      <c r="B81" s="12"/>
      <c r="C81" s="12"/>
      <c r="D81"/>
      <c r="E81" s="2" t="s">
        <v>238</v>
      </c>
      <c r="F81" s="3" t="s">
        <v>239</v>
      </c>
      <c r="G81" s="3" t="s">
        <v>48</v>
      </c>
      <c r="H81" s="3" t="s">
        <v>45</v>
      </c>
      <c r="I81" s="33">
        <f xml:space="preserve"> I80+J80</f>
        <v>0</v>
      </c>
      <c r="J81" s="29">
        <v>4</v>
      </c>
      <c r="K81" s="10" t="str">
        <f xml:space="preserve"> IFERROR("0x" &amp; DEC2HEX(VLOOKUP(F81,Common!$C$10:$D$34,2,FALSE),2) &amp; DEC2HEX(I81,3) &amp; DEC2HEX(VLOOKUP(G81,Common!$C$51:$D$55,2,FALSE),1) &amp; DEC2HEX(1+2*VLOOKUP(H81,Common!$C$69:$D$72,2,FALSE),1) &amp; DEC2HEX(IFERROR(LOG(J81,2),0),1),0)</f>
        <v>0x06000112</v>
      </c>
      <c r="L81" s="29" t="str">
        <f>IF(AND(LEN(E81)&lt;&gt;0,S81=""),F81&amp;"_"&amp;UPPER(E81),"")</f>
        <v>DBG_WRITES_CONF</v>
      </c>
      <c r="M81" t="s">
        <v>240</v>
      </c>
      <c r="N81" s="29"/>
      <c r="O81" s="29">
        <v>0</v>
      </c>
      <c r="P81" s="29">
        <v>1000000</v>
      </c>
      <c r="Q81" s="3" t="s">
        <v>241</v>
      </c>
      <c r="R81" s="29"/>
      <c r="S81" s="29"/>
      <c r="T81" t="s">
        <v>242</v>
      </c>
      <c r="U81"/>
      <c r="V81"/>
      <c r="W81"/>
      <c r="X81"/>
      <c r="Y81"/>
      <c r="AA81" s="12"/>
      <c r="AB81" s="12"/>
      <c r="AC81" s="12"/>
      <c r="AD81" s="12"/>
      <c r="AE81" s="12"/>
      <c r="AF81" s="12"/>
      <c r="AG81" s="12"/>
      <c r="AH81" s="12"/>
      <c r="AI81" s="12"/>
    </row>
    <row r="82" spans="1:35" s="34" customFormat="1" x14ac:dyDescent="0.35">
      <c r="D82" s="40"/>
    </row>
    <row r="83" spans="1:35" s="10" customFormat="1" x14ac:dyDescent="0.35">
      <c r="A83" s="12"/>
      <c r="B83" s="12"/>
      <c r="C83" s="12"/>
      <c r="D83"/>
      <c r="AA83" s="12"/>
      <c r="AB83" s="12"/>
      <c r="AC83" s="12"/>
      <c r="AD83" s="12"/>
      <c r="AE83" s="12"/>
      <c r="AF83" s="12"/>
      <c r="AG83" s="12"/>
      <c r="AH83" s="12"/>
      <c r="AI83" s="12"/>
    </row>
    <row r="84" spans="1:35" s="10" customFormat="1" x14ac:dyDescent="0.35">
      <c r="A84" s="12"/>
      <c r="B84" s="12"/>
      <c r="C84" s="12"/>
      <c r="D84"/>
      <c r="AA84" s="12"/>
      <c r="AB84" s="12"/>
      <c r="AC84" s="12"/>
      <c r="AD84" s="12"/>
      <c r="AE84" s="12"/>
      <c r="AF84" s="12"/>
      <c r="AG84" s="12"/>
      <c r="AH84" s="12"/>
      <c r="AI84" s="12"/>
    </row>
    <row r="85" spans="1:35" s="10" customFormat="1" x14ac:dyDescent="0.3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3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3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3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3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3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3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3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3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3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3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3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3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3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3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3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3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3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3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3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3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3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3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3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3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3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3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3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3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3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3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3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3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3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3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3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3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3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3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3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3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3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3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3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3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3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3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3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3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3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3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3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3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3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3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3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3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3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3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3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3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3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3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3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3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3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3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3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3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3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3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3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3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3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3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3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3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3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3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3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3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3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3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3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3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3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3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3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3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3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3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3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3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3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3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3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3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3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3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3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3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3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3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3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3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3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3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3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3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3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3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3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3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3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3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3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3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3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3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3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3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3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3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3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3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3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3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3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3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3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3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3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3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3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3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3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3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3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3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3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3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3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3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3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3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3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3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3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3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3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3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3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3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3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3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3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3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3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3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3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3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3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336550</xdr:colOff>
                <xdr:row>9</xdr:row>
                <xdr:rowOff>12700</xdr:rowOff>
              </from>
              <to>
                <xdr:col>9</xdr:col>
                <xdr:colOff>1257300</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336550</xdr:colOff>
                <xdr:row>7</xdr:row>
                <xdr:rowOff>12700</xdr:rowOff>
              </from>
              <to>
                <xdr:col>9</xdr:col>
                <xdr:colOff>1257300</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1257300</xdr:colOff>
                <xdr:row>3</xdr:row>
                <xdr:rowOff>31750</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6" sqref="F16"/>
    </sheetView>
  </sheetViews>
  <sheetFormatPr defaultRowHeight="14.5" x14ac:dyDescent="0.35"/>
  <cols>
    <col min="2" max="2" width="9.54296875" customWidth="1"/>
    <col min="3" max="3" width="11.54296875" style="3" customWidth="1"/>
    <col min="4" max="4" width="12.54296875" customWidth="1"/>
    <col min="5" max="5" width="22.81640625" customWidth="1"/>
    <col min="6" max="6" width="83.26953125" customWidth="1"/>
    <col min="10" max="10" width="18.54296875" bestFit="1" customWidth="1"/>
  </cols>
  <sheetData>
    <row r="5" spans="3:6" ht="21" x14ac:dyDescent="0.5">
      <c r="C5" s="1" t="s">
        <v>38</v>
      </c>
      <c r="D5" s="3"/>
    </row>
    <row r="6" spans="3:6" x14ac:dyDescent="0.35">
      <c r="D6" s="2"/>
    </row>
    <row r="7" spans="3:6" x14ac:dyDescent="0.35">
      <c r="D7" s="2"/>
    </row>
    <row r="8" spans="3:6" x14ac:dyDescent="0.35">
      <c r="D8" s="2"/>
    </row>
    <row r="9" spans="3:6" x14ac:dyDescent="0.35">
      <c r="D9" s="2"/>
    </row>
    <row r="10" spans="3:6" ht="15.5" x14ac:dyDescent="0.35">
      <c r="C10" s="4" t="s">
        <v>29</v>
      </c>
      <c r="D10" s="4" t="s">
        <v>3</v>
      </c>
      <c r="E10" s="4" t="s">
        <v>2</v>
      </c>
      <c r="F10" s="4" t="s">
        <v>4</v>
      </c>
    </row>
    <row r="11" spans="3:6" x14ac:dyDescent="0.35">
      <c r="C11" t="s">
        <v>32</v>
      </c>
      <c r="D11" s="3">
        <v>0</v>
      </c>
      <c r="E11" t="s">
        <v>23</v>
      </c>
      <c r="F11" t="s">
        <v>26</v>
      </c>
    </row>
    <row r="12" spans="3:6" x14ac:dyDescent="0.35">
      <c r="C12" t="s">
        <v>30</v>
      </c>
      <c r="D12" s="3">
        <v>1</v>
      </c>
      <c r="E12" t="s">
        <v>24</v>
      </c>
      <c r="F12" t="s">
        <v>27</v>
      </c>
    </row>
    <row r="13" spans="3:6" x14ac:dyDescent="0.35">
      <c r="C13" t="s">
        <v>31</v>
      </c>
      <c r="D13" s="3">
        <v>2</v>
      </c>
      <c r="E13" t="s">
        <v>25</v>
      </c>
      <c r="F13" t="s">
        <v>28</v>
      </c>
    </row>
    <row r="14" spans="3:6" x14ac:dyDescent="0.35">
      <c r="C14" t="s">
        <v>185</v>
      </c>
      <c r="D14" s="3">
        <v>3</v>
      </c>
      <c r="E14" t="s">
        <v>186</v>
      </c>
      <c r="F14" t="s">
        <v>187</v>
      </c>
    </row>
    <row r="15" spans="3:6" x14ac:dyDescent="0.35">
      <c r="C15" t="s">
        <v>183</v>
      </c>
      <c r="D15" s="3">
        <v>4</v>
      </c>
      <c r="E15" t="s">
        <v>184</v>
      </c>
      <c r="F15" t="s">
        <v>188</v>
      </c>
    </row>
    <row r="16" spans="3:6" x14ac:dyDescent="0.35">
      <c r="C16" t="s">
        <v>268</v>
      </c>
      <c r="D16" s="3">
        <v>5</v>
      </c>
      <c r="E16" t="s">
        <v>269</v>
      </c>
      <c r="F16" t="s">
        <v>270</v>
      </c>
    </row>
    <row r="17" spans="3:5" x14ac:dyDescent="0.35">
      <c r="C17" t="s">
        <v>239</v>
      </c>
      <c r="D17" s="3">
        <v>6</v>
      </c>
      <c r="E17" t="s">
        <v>87</v>
      </c>
    </row>
    <row r="18" spans="3:5" x14ac:dyDescent="0.35">
      <c r="C18" s="2"/>
      <c r="D18" s="3">
        <v>7</v>
      </c>
    </row>
    <row r="19" spans="3:5" x14ac:dyDescent="0.35">
      <c r="C19"/>
      <c r="D19" s="3">
        <v>8</v>
      </c>
    </row>
    <row r="20" spans="3:5" x14ac:dyDescent="0.35">
      <c r="C20"/>
      <c r="D20" s="3">
        <v>9</v>
      </c>
    </row>
    <row r="21" spans="3:5" x14ac:dyDescent="0.35">
      <c r="D21" s="3">
        <v>10</v>
      </c>
    </row>
    <row r="22" spans="3:5" x14ac:dyDescent="0.35">
      <c r="D22" s="3">
        <v>11</v>
      </c>
    </row>
    <row r="23" spans="3:5" x14ac:dyDescent="0.35">
      <c r="C23"/>
      <c r="D23" s="3">
        <v>12</v>
      </c>
    </row>
    <row r="24" spans="3:5" x14ac:dyDescent="0.35">
      <c r="C24" s="2"/>
      <c r="D24" s="3">
        <v>13</v>
      </c>
    </row>
    <row r="25" spans="3:5" x14ac:dyDescent="0.35">
      <c r="D25" s="3">
        <v>14</v>
      </c>
    </row>
    <row r="26" spans="3:5" x14ac:dyDescent="0.35">
      <c r="C26"/>
      <c r="D26" s="3">
        <v>15</v>
      </c>
    </row>
    <row r="27" spans="3:5" x14ac:dyDescent="0.35">
      <c r="C27"/>
      <c r="D27" s="3">
        <v>16</v>
      </c>
    </row>
    <row r="28" spans="3:5" x14ac:dyDescent="0.35">
      <c r="C28"/>
      <c r="D28" s="3">
        <v>17</v>
      </c>
    </row>
    <row r="29" spans="3:5" x14ac:dyDescent="0.35">
      <c r="C29"/>
      <c r="D29" s="3">
        <v>18</v>
      </c>
    </row>
    <row r="30" spans="3:5" x14ac:dyDescent="0.35">
      <c r="C30"/>
      <c r="D30" s="3">
        <v>19</v>
      </c>
    </row>
    <row r="31" spans="3:5" x14ac:dyDescent="0.35">
      <c r="C31"/>
      <c r="D31" s="3">
        <v>20</v>
      </c>
    </row>
    <row r="32" spans="3:5" x14ac:dyDescent="0.35">
      <c r="C32"/>
      <c r="D32" s="3">
        <v>21</v>
      </c>
    </row>
    <row r="33" spans="3:4" x14ac:dyDescent="0.35">
      <c r="C33"/>
      <c r="D33" s="3">
        <v>22</v>
      </c>
    </row>
    <row r="34" spans="3:4" x14ac:dyDescent="0.35">
      <c r="C34"/>
      <c r="D34" s="3">
        <v>23</v>
      </c>
    </row>
    <row r="35" spans="3:4" x14ac:dyDescent="0.35">
      <c r="C35"/>
      <c r="D35" s="3">
        <v>24</v>
      </c>
    </row>
    <row r="36" spans="3:4" x14ac:dyDescent="0.35">
      <c r="C36" s="2"/>
      <c r="D36" s="3">
        <v>25</v>
      </c>
    </row>
    <row r="37" spans="3:4" x14ac:dyDescent="0.35">
      <c r="C37"/>
      <c r="D37" s="3"/>
    </row>
    <row r="38" spans="3:4" x14ac:dyDescent="0.35">
      <c r="C38"/>
      <c r="D38" s="3"/>
    </row>
    <row r="39" spans="3:4" x14ac:dyDescent="0.35">
      <c r="C39"/>
      <c r="D39" s="3"/>
    </row>
    <row r="40" spans="3:4" x14ac:dyDescent="0.35">
      <c r="C40"/>
      <c r="D40" s="3"/>
    </row>
    <row r="41" spans="3:4" x14ac:dyDescent="0.35">
      <c r="C41"/>
      <c r="D41" s="3"/>
    </row>
    <row r="45" spans="3:4" ht="21" x14ac:dyDescent="0.5">
      <c r="C45" s="1" t="s">
        <v>53</v>
      </c>
      <c r="D45" s="3"/>
    </row>
    <row r="46" spans="3:4" x14ac:dyDescent="0.35">
      <c r="D46" s="2"/>
    </row>
    <row r="47" spans="3:4" x14ac:dyDescent="0.35">
      <c r="D47" s="2"/>
    </row>
    <row r="48" spans="3:4" x14ac:dyDescent="0.35">
      <c r="D48" s="2"/>
    </row>
    <row r="49" spans="3:6" x14ac:dyDescent="0.35">
      <c r="D49" s="2"/>
    </row>
    <row r="50" spans="3:6" ht="15.5" x14ac:dyDescent="0.35">
      <c r="C50" s="4" t="s">
        <v>29</v>
      </c>
      <c r="D50" s="4" t="s">
        <v>3</v>
      </c>
      <c r="E50" s="4" t="s">
        <v>2</v>
      </c>
      <c r="F50" s="4" t="s">
        <v>4</v>
      </c>
    </row>
    <row r="51" spans="3:6" x14ac:dyDescent="0.35">
      <c r="C51" t="s">
        <v>44</v>
      </c>
      <c r="D51" s="5">
        <v>0</v>
      </c>
      <c r="E51" t="s">
        <v>54</v>
      </c>
      <c r="F51" t="s">
        <v>90</v>
      </c>
    </row>
    <row r="52" spans="3:6" x14ac:dyDescent="0.35">
      <c r="C52" t="s">
        <v>48</v>
      </c>
      <c r="D52" s="5">
        <v>1</v>
      </c>
      <c r="E52" t="s">
        <v>55</v>
      </c>
      <c r="F52" t="s">
        <v>91</v>
      </c>
    </row>
    <row r="53" spans="3:6" x14ac:dyDescent="0.35">
      <c r="C53" t="s">
        <v>49</v>
      </c>
      <c r="D53" s="5">
        <v>2</v>
      </c>
      <c r="E53" t="s">
        <v>56</v>
      </c>
      <c r="F53" t="s">
        <v>98</v>
      </c>
    </row>
    <row r="54" spans="3:6" x14ac:dyDescent="0.35">
      <c r="C54" t="s">
        <v>116</v>
      </c>
      <c r="D54" s="5">
        <v>3</v>
      </c>
      <c r="E54" t="s">
        <v>57</v>
      </c>
      <c r="F54" t="s">
        <v>99</v>
      </c>
    </row>
    <row r="55" spans="3:6" x14ac:dyDescent="0.35">
      <c r="C55" t="s">
        <v>114</v>
      </c>
      <c r="D55" s="5">
        <v>5</v>
      </c>
      <c r="E55" t="s">
        <v>115</v>
      </c>
      <c r="F55" t="s">
        <v>120</v>
      </c>
    </row>
    <row r="56" spans="3:6" x14ac:dyDescent="0.35">
      <c r="C56"/>
      <c r="D56" s="7" t="s">
        <v>88</v>
      </c>
      <c r="E56" t="s">
        <v>89</v>
      </c>
      <c r="F56" t="s">
        <v>52</v>
      </c>
    </row>
    <row r="57" spans="3:6" x14ac:dyDescent="0.35">
      <c r="C57"/>
      <c r="D57" s="5"/>
    </row>
    <row r="58" spans="3:6" x14ac:dyDescent="0.35">
      <c r="C58"/>
      <c r="D58" s="5"/>
    </row>
    <row r="59" spans="3:6" x14ac:dyDescent="0.35">
      <c r="C59"/>
    </row>
    <row r="60" spans="3:6" x14ac:dyDescent="0.35">
      <c r="C60"/>
    </row>
    <row r="61" spans="3:6" x14ac:dyDescent="0.35">
      <c r="C61"/>
    </row>
    <row r="62" spans="3:6" x14ac:dyDescent="0.35">
      <c r="C62"/>
    </row>
    <row r="63" spans="3:6" ht="21" x14ac:dyDescent="0.5">
      <c r="C63" s="1" t="s">
        <v>58</v>
      </c>
      <c r="D63" s="3"/>
    </row>
    <row r="64" spans="3:6" x14ac:dyDescent="0.35">
      <c r="D64" s="2"/>
    </row>
    <row r="65" spans="3:6" x14ac:dyDescent="0.35">
      <c r="D65" s="2"/>
    </row>
    <row r="66" spans="3:6" x14ac:dyDescent="0.35">
      <c r="D66" s="2"/>
    </row>
    <row r="67" spans="3:6" x14ac:dyDescent="0.35">
      <c r="D67" s="2"/>
    </row>
    <row r="68" spans="3:6" ht="15.5" x14ac:dyDescent="0.35">
      <c r="C68" s="4" t="s">
        <v>29</v>
      </c>
      <c r="D68" s="4" t="s">
        <v>3</v>
      </c>
      <c r="E68" s="4" t="s">
        <v>2</v>
      </c>
      <c r="F68" s="4" t="s">
        <v>4</v>
      </c>
    </row>
    <row r="69" spans="3:6" x14ac:dyDescent="0.35">
      <c r="C69" t="s">
        <v>45</v>
      </c>
      <c r="D69" s="3">
        <v>0</v>
      </c>
      <c r="E69" t="s">
        <v>59</v>
      </c>
      <c r="F69" t="s">
        <v>92</v>
      </c>
    </row>
    <row r="70" spans="3:6" x14ac:dyDescent="0.35">
      <c r="C70" t="s">
        <v>51</v>
      </c>
      <c r="D70" s="3">
        <v>1</v>
      </c>
      <c r="E70" t="s">
        <v>60</v>
      </c>
      <c r="F70" t="s">
        <v>93</v>
      </c>
    </row>
    <row r="71" spans="3:6" x14ac:dyDescent="0.35">
      <c r="C71" t="s">
        <v>50</v>
      </c>
      <c r="D71" s="3">
        <v>2</v>
      </c>
      <c r="E71" t="s">
        <v>61</v>
      </c>
      <c r="F71" t="s">
        <v>94</v>
      </c>
    </row>
    <row r="72" spans="3:6" x14ac:dyDescent="0.35">
      <c r="C72" t="s">
        <v>47</v>
      </c>
      <c r="D72" s="3">
        <v>3</v>
      </c>
      <c r="E72" t="s">
        <v>62</v>
      </c>
      <c r="F72" t="s">
        <v>95</v>
      </c>
    </row>
    <row r="73" spans="3:6" x14ac:dyDescent="0.35">
      <c r="C73" t="s">
        <v>131</v>
      </c>
      <c r="D73" s="3">
        <v>3</v>
      </c>
      <c r="E73" t="s">
        <v>132</v>
      </c>
      <c r="F73" t="s">
        <v>133</v>
      </c>
    </row>
    <row r="74" spans="3:6" x14ac:dyDescent="0.35">
      <c r="C74"/>
      <c r="D74" s="6" t="s">
        <v>96</v>
      </c>
      <c r="E74" t="s">
        <v>89</v>
      </c>
      <c r="F74" t="s">
        <v>52</v>
      </c>
    </row>
    <row r="75" spans="3:6" x14ac:dyDescent="0.35">
      <c r="C75"/>
      <c r="D75" s="3"/>
    </row>
    <row r="76" spans="3:6" x14ac:dyDescent="0.35">
      <c r="C76"/>
      <c r="D76" s="3"/>
    </row>
    <row r="77" spans="3:6" x14ac:dyDescent="0.35">
      <c r="C77"/>
    </row>
    <row r="78" spans="3:6" x14ac:dyDescent="0.35">
      <c r="C78"/>
    </row>
    <row r="79" spans="3:6" x14ac:dyDescent="0.35">
      <c r="C79"/>
    </row>
    <row r="80" spans="3:6" x14ac:dyDescent="0.35">
      <c r="C80"/>
    </row>
    <row r="81" spans="3:6" ht="21" x14ac:dyDescent="0.5">
      <c r="C81" s="1"/>
      <c r="D81" s="3"/>
    </row>
    <row r="82" spans="3:6" x14ac:dyDescent="0.35">
      <c r="D82" s="2"/>
    </row>
    <row r="83" spans="3:6" x14ac:dyDescent="0.35">
      <c r="D83" s="2"/>
    </row>
    <row r="84" spans="3:6" x14ac:dyDescent="0.35">
      <c r="D84" s="2"/>
    </row>
    <row r="85" spans="3:6" x14ac:dyDescent="0.35">
      <c r="D85" s="2"/>
    </row>
    <row r="86" spans="3:6" ht="15.5" x14ac:dyDescent="0.35">
      <c r="C86" s="4"/>
      <c r="D86" s="4"/>
      <c r="E86" s="4"/>
      <c r="F86" s="4"/>
    </row>
    <row r="87" spans="3:6" x14ac:dyDescent="0.35">
      <c r="C87" s="5"/>
      <c r="D87" s="5"/>
    </row>
    <row r="88" spans="3:6" x14ac:dyDescent="0.35">
      <c r="C88" s="5"/>
      <c r="D88" s="5"/>
    </row>
    <row r="89" spans="3:6" x14ac:dyDescent="0.35">
      <c r="C89" s="5"/>
      <c r="D89" s="5"/>
    </row>
    <row r="90" spans="3:6" x14ac:dyDescent="0.35">
      <c r="C90" s="5"/>
      <c r="D90" s="5"/>
    </row>
    <row r="91" spans="3:6" x14ac:dyDescent="0.35">
      <c r="C91" s="5"/>
      <c r="D91" s="5"/>
    </row>
    <row r="92" spans="3:6" x14ac:dyDescent="0.35">
      <c r="C92" s="5"/>
      <c r="D92" s="5"/>
    </row>
    <row r="93" spans="3:6" x14ac:dyDescent="0.35">
      <c r="C93" s="5"/>
      <c r="D93" s="5"/>
    </row>
    <row r="94" spans="3:6" x14ac:dyDescent="0.35">
      <c r="C94" s="5"/>
      <c r="D94" s="5"/>
    </row>
    <row r="99" spans="3:6" ht="21" x14ac:dyDescent="0.5">
      <c r="C99" s="1" t="s">
        <v>69</v>
      </c>
      <c r="D99" s="3"/>
    </row>
    <row r="100" spans="3:6" x14ac:dyDescent="0.35">
      <c r="D100" s="2" t="s">
        <v>5</v>
      </c>
    </row>
    <row r="101" spans="3:6" x14ac:dyDescent="0.35">
      <c r="D101" s="2" t="s">
        <v>6</v>
      </c>
    </row>
    <row r="102" spans="3:6" x14ac:dyDescent="0.35">
      <c r="D102" s="2" t="s">
        <v>7</v>
      </c>
    </row>
    <row r="103" spans="3:6" x14ac:dyDescent="0.35">
      <c r="D103" s="2"/>
    </row>
    <row r="104" spans="3:6" ht="15.5" x14ac:dyDescent="0.35">
      <c r="C104" s="4" t="s">
        <v>29</v>
      </c>
      <c r="D104" s="4" t="s">
        <v>3</v>
      </c>
      <c r="E104" s="4" t="s">
        <v>2</v>
      </c>
      <c r="F104" s="4" t="s">
        <v>4</v>
      </c>
    </row>
    <row r="105" spans="3:6" x14ac:dyDescent="0.35">
      <c r="C105" s="5" t="s">
        <v>70</v>
      </c>
      <c r="D105" s="3">
        <v>0</v>
      </c>
      <c r="E105" t="s">
        <v>75</v>
      </c>
      <c r="F105" t="s">
        <v>76</v>
      </c>
    </row>
    <row r="106" spans="3:6" x14ac:dyDescent="0.35">
      <c r="C106" s="5" t="s">
        <v>86</v>
      </c>
      <c r="D106" s="3">
        <v>1</v>
      </c>
      <c r="E106" t="s">
        <v>77</v>
      </c>
      <c r="F106" t="s">
        <v>78</v>
      </c>
    </row>
    <row r="107" spans="3:6" x14ac:dyDescent="0.35">
      <c r="C107" s="5" t="s">
        <v>87</v>
      </c>
      <c r="D107" s="3">
        <v>2</v>
      </c>
      <c r="E107" t="s">
        <v>79</v>
      </c>
      <c r="F107" t="s">
        <v>97</v>
      </c>
    </row>
    <row r="108" spans="3:6" x14ac:dyDescent="0.35">
      <c r="C108" s="5" t="s">
        <v>23</v>
      </c>
      <c r="D108" s="3">
        <v>3</v>
      </c>
      <c r="E108" t="s">
        <v>68</v>
      </c>
      <c r="F108" t="s">
        <v>84</v>
      </c>
    </row>
    <row r="109" spans="3:6" x14ac:dyDescent="0.35">
      <c r="C109" s="5" t="s">
        <v>71</v>
      </c>
      <c r="D109" s="3">
        <v>4</v>
      </c>
      <c r="E109" t="s">
        <v>64</v>
      </c>
      <c r="F109" t="s">
        <v>80</v>
      </c>
    </row>
    <row r="110" spans="3:6" x14ac:dyDescent="0.35">
      <c r="C110" s="5" t="s">
        <v>72</v>
      </c>
      <c r="D110" s="3">
        <v>5</v>
      </c>
      <c r="E110" t="s">
        <v>65</v>
      </c>
      <c r="F110" t="s">
        <v>81</v>
      </c>
    </row>
    <row r="111" spans="3:6" x14ac:dyDescent="0.35">
      <c r="C111" s="5" t="s">
        <v>73</v>
      </c>
      <c r="D111" s="3">
        <v>6</v>
      </c>
      <c r="E111" t="s">
        <v>66</v>
      </c>
      <c r="F111" t="s">
        <v>82</v>
      </c>
    </row>
    <row r="112" spans="3:6" x14ac:dyDescent="0.35">
      <c r="C112" s="5" t="s">
        <v>74</v>
      </c>
      <c r="D112" s="3">
        <v>7</v>
      </c>
      <c r="E112" t="s">
        <v>67</v>
      </c>
      <c r="F112" t="s">
        <v>83</v>
      </c>
    </row>
    <row r="113" spans="3:6" x14ac:dyDescent="0.35">
      <c r="D113" s="6" t="s">
        <v>40</v>
      </c>
      <c r="E113" t="s">
        <v>85</v>
      </c>
      <c r="F113" t="s">
        <v>52</v>
      </c>
    </row>
    <row r="119" spans="3:6" ht="21" x14ac:dyDescent="0.5">
      <c r="C119" s="1" t="s">
        <v>103</v>
      </c>
    </row>
    <row r="124" spans="3:6" ht="15.5" x14ac:dyDescent="0.35">
      <c r="D124" s="4" t="s">
        <v>43</v>
      </c>
      <c r="E124" s="4" t="s">
        <v>102</v>
      </c>
      <c r="F124" s="4" t="s">
        <v>107</v>
      </c>
    </row>
    <row r="125" spans="3:6" x14ac:dyDescent="0.35">
      <c r="D125" s="3">
        <v>0</v>
      </c>
      <c r="E125" t="s">
        <v>70</v>
      </c>
      <c r="F125" t="s">
        <v>121</v>
      </c>
    </row>
    <row r="126" spans="3:6" x14ac:dyDescent="0.35">
      <c r="D126" s="3">
        <v>1</v>
      </c>
      <c r="E126" t="s">
        <v>87</v>
      </c>
      <c r="F126" t="s">
        <v>122</v>
      </c>
    </row>
    <row r="127" spans="3:6" x14ac:dyDescent="0.35">
      <c r="D127" s="3">
        <v>2</v>
      </c>
      <c r="E127" t="s">
        <v>104</v>
      </c>
      <c r="F127" t="s">
        <v>108</v>
      </c>
    </row>
    <row r="128" spans="3:6" x14ac:dyDescent="0.35">
      <c r="D128" s="3">
        <v>3</v>
      </c>
      <c r="E128" t="s">
        <v>104</v>
      </c>
      <c r="F128" t="s">
        <v>109</v>
      </c>
    </row>
    <row r="129" spans="3:6" x14ac:dyDescent="0.35">
      <c r="D129" s="3">
        <v>4</v>
      </c>
      <c r="E129" t="s">
        <v>105</v>
      </c>
      <c r="F129" t="s">
        <v>112</v>
      </c>
    </row>
    <row r="130" spans="3:6" x14ac:dyDescent="0.35">
      <c r="D130" s="3">
        <v>5</v>
      </c>
      <c r="E130" t="s">
        <v>105</v>
      </c>
      <c r="F130" t="s">
        <v>112</v>
      </c>
    </row>
    <row r="131" spans="3:6" x14ac:dyDescent="0.35">
      <c r="D131" s="3">
        <v>6</v>
      </c>
      <c r="E131" t="s">
        <v>106</v>
      </c>
      <c r="F131" t="s">
        <v>110</v>
      </c>
    </row>
    <row r="132" spans="3:6" x14ac:dyDescent="0.35">
      <c r="D132" s="3">
        <v>7</v>
      </c>
      <c r="E132" t="s">
        <v>106</v>
      </c>
      <c r="F132" t="s">
        <v>110</v>
      </c>
    </row>
    <row r="133" spans="3:6" x14ac:dyDescent="0.35">
      <c r="D133" s="3">
        <v>8</v>
      </c>
      <c r="E133" t="s">
        <v>41</v>
      </c>
      <c r="F133" t="s">
        <v>111</v>
      </c>
    </row>
    <row r="134" spans="3:6" x14ac:dyDescent="0.35">
      <c r="D134" s="3">
        <v>9</v>
      </c>
      <c r="E134" t="s">
        <v>41</v>
      </c>
      <c r="F134" t="s">
        <v>111</v>
      </c>
    </row>
    <row r="136" spans="3:6" x14ac:dyDescent="0.35">
      <c r="C136"/>
    </row>
    <row r="137" spans="3:6" x14ac:dyDescent="0.35">
      <c r="C137"/>
    </row>
    <row r="138" spans="3:6" x14ac:dyDescent="0.35">
      <c r="C138"/>
    </row>
    <row r="139" spans="3:6" x14ac:dyDescent="0.35">
      <c r="C139"/>
    </row>
    <row r="140" spans="3:6" x14ac:dyDescent="0.35">
      <c r="C140"/>
    </row>
    <row r="141" spans="3:6" x14ac:dyDescent="0.35">
      <c r="C141"/>
    </row>
    <row r="142" spans="3:6" x14ac:dyDescent="0.35">
      <c r="C142"/>
    </row>
    <row r="143" spans="3:6" x14ac:dyDescent="0.35">
      <c r="C143"/>
    </row>
    <row r="144" spans="3:6"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Štěpán Roušal</cp:lastModifiedBy>
  <dcterms:created xsi:type="dcterms:W3CDTF">2006-09-16T00:00:00Z</dcterms:created>
  <dcterms:modified xsi:type="dcterms:W3CDTF">2025-05-27T11:42:17Z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